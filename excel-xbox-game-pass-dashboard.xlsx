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l\"/>
    </mc:Choice>
  </mc:AlternateContent>
  <xr:revisionPtr revIDLastSave="0" documentId="13_ncr:1_{FFD17990-B2F6-463D-A304-3E85D79E32C8}" xr6:coauthVersionLast="47" xr6:coauthVersionMax="47" xr10:uidLastSave="{00000000-0000-0000-0000-000000000000}"/>
  <bookViews>
    <workbookView xWindow="-120" yWindow="-120" windowWidth="29040" windowHeight="15720" tabRatio="0" firstSheet="4" activeTab="4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  <sheet name="D̳ashboard (2)" sheetId="6" r:id="rId5"/>
  </sheets>
  <definedNames>
    <definedName name="SegmentaçãodeDados_Subscription_Type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3" l="1"/>
  <c r="G13" i="3"/>
  <c r="E17" i="3"/>
  <c r="E23" i="3"/>
</calcChain>
</file>

<file path=xl/sharedStrings.xml><?xml version="1.0" encoding="utf-8"?>
<sst xmlns="http://schemas.openxmlformats.org/spreadsheetml/2006/main" count="2026" uniqueCount="325">
  <si>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</si>
  <si>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</si>
  <si>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</si>
  <si>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</si>
  <si>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</si>
  <si>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</si>
  <si>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</si>
  <si>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</si>
  <si>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</si>
  <si>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</si>
  <si>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</si>
  <si>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</si>
  <si>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</si>
  <si>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</si>
  <si>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</si>
  <si>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</si>
  <si>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</si>
  <si>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</si>
  <si>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</si>
  <si>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</si>
  <si>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</si>
  <si>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</si>
  <si>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</si>
  <si>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</si>
  <si>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</si>
  <si>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</si>
  <si>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</si>
  <si>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</si>
  <si>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</si>
  <si>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</si>
  <si>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</si>
  <si>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</si>
  <si>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</si>
  <si>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</si>
  <si>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</si>
  <si>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</si>
  <si>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</si>
  <si>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</si>
  <si>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</si>
  <si>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</si>
  <si>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</si>
  <si>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</si>
  <si>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</si>
  <si>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</si>
  <si>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</si>
  <si>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</si>
  <si>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</si>
  <si>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</si>
  <si>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</si>
  <si>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</si>
  <si>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</si>
  <si>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</si>
  <si>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</si>
  <si>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</si>
  <si>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</si>
  <si>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</si>
  <si>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</si>
  <si>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</si>
  <si>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</si>
  <si>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</si>
  <si>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</si>
  <si>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</si>
  <si>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</si>
  <si>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</si>
  <si>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</si>
  <si>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</si>
  <si>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</si>
  <si>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</si>
  <si>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</si>
  <si>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</si>
  <si>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</si>
  <si>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</si>
  <si>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</si>
  <si>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</si>
  <si>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</si>
  <si>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</si>
  <si>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</si>
  <si>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</si>
  <si>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</si>
  <si>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</si>
  <si>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</si>
  <si>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</si>
  <si>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</si>
  <si>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</si>
  <si>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</si>
  <si>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</si>
  <si>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</si>
  <si>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</si>
  <si>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</si>
  <si>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</si>
  <si>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</si>
  <si>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</si>
  <si>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</si>
  <si>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</si>
  <si>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</si>
  <si>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</si>
  <si>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</si>
  <si>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</si>
  <si>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</si>
  <si>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</si>
  <si>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</si>
  <si>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</si>
  <si>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</si>
  <si>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</si>
  <si>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</si>
  <si>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</si>
  <si>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</si>
  <si>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</si>
  <si>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</si>
  <si>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</si>
  <si>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</si>
  <si>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</si>
  <si>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</si>
  <si>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</si>
  <si>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</si>
  <si>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</si>
  <si>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</si>
  <si>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</si>
  <si>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</si>
  <si>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</si>
  <si>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</si>
  <si>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</si>
  <si>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</si>
  <si>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</si>
  <si>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</si>
  <si>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</si>
  <si>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</si>
  <si>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</si>
  <si>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</si>
  <si>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</si>
  <si>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</si>
  <si>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</si>
  <si>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</si>
  <si>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</si>
  <si>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</si>
  <si>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</si>
  <si>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</si>
  <si>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</si>
  <si>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</si>
  <si>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</si>
  <si>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</si>
  <si>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</si>
  <si>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</si>
  <si>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</si>
  <si>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</si>
  <si>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</si>
  <si>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</si>
  <si>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</si>
  <si>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</si>
  <si>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</si>
  <si>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</si>
  <si>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</si>
  <si>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</si>
  <si>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</si>
  <si>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</si>
  <si>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</si>
  <si>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</si>
  <si>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</si>
  <si>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</si>
  <si>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</si>
  <si>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</si>
  <si>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</si>
  <si>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</si>
  <si>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</si>
  <si>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</si>
  <si>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</si>
  <si>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</si>
  <si>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</si>
  <si>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</si>
  <si>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</si>
  <si>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</si>
  <si>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</si>
  <si>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</si>
  <si>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</si>
  <si>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</si>
  <si>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</si>
  <si>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</si>
  <si>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</si>
  <si>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</si>
  <si>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</si>
  <si>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</si>
  <si>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</si>
  <si>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</si>
  <si>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</si>
  <si>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</si>
  <si>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</si>
  <si>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</si>
  <si>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</si>
  <si>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</si>
  <si>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</si>
  <si>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</si>
  <si>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</si>
  <si>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</si>
  <si>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</si>
  <si>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</si>
  <si>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</si>
  <si>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</si>
  <si>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</si>
  <si>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</si>
  <si>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</si>
  <si>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</si>
  <si>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</si>
  <si>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</si>
  <si>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</si>
  <si>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</si>
  <si>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</si>
  <si>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</si>
  <si>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</si>
  <si>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</si>
  <si>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</si>
  <si>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</si>
  <si>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</si>
  <si>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</si>
  <si>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</si>
  <si>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</si>
  <si>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</si>
  <si>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</si>
  <si>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</si>
  <si>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</si>
  <si>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</si>
  <si>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</si>
  <si>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</si>
  <si>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</si>
  <si>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</si>
  <si>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</si>
  <si>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</si>
  <si>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</si>
  <si>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</si>
  <si>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</si>
  <si>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</si>
  <si>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</si>
  <si>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</si>
  <si>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</si>
  <si>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</si>
  <si>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</si>
  <si>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</si>
  <si>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</si>
  <si>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</si>
  <si>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</si>
  <si>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</si>
  <si>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</si>
  <si>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</si>
  <si>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</si>
  <si>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</si>
  <si>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</si>
  <si>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</si>
  <si>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</si>
  <si>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</si>
  <si>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</si>
  <si>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</si>
  <si>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</si>
  <si>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</si>
  <si>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</si>
  <si>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</si>
  <si>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</si>
  <si>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</si>
  <si>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</si>
  <si>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</si>
  <si>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</si>
  <si>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</si>
  <si>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</si>
  <si>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</si>
  <si>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</si>
  <si>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</si>
  <si>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</si>
  <si>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</si>
  <si>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</si>
  <si>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</si>
  <si>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</si>
  <si>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</si>
  <si>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</si>
  <si>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</si>
  <si>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</si>
  <si>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</si>
  <si>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</si>
  <si>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</si>
  <si>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</si>
  <si>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</si>
  <si>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</si>
  <si>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</si>
  <si>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</si>
  <si>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</si>
  <si>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</si>
  <si>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</si>
  <si>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</si>
  <si>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</si>
  <si>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</si>
  <si>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</si>
  <si>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</si>
  <si>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</si>
  <si>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</si>
  <si>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</si>
  <si>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</si>
  <si>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</si>
  <si>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</si>
  <si>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</si>
  <si>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</si>
  <si>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</si>
  <si>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</si>
  <si>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</si>
  <si>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</si>
  <si>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</si>
  <si>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</si>
  <si>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</si>
  <si>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</si>
  <si>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</si>
  <si>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</si>
  <si>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</si>
  <si>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</si>
  <si>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</si>
  <si>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</si>
  <si>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</si>
  <si>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</si>
  <si>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</si>
  <si>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</si>
  <si>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</si>
  <si>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Soma de EA Play Season Pass</t>
  </si>
  <si>
    <t>XBOX GAMES PASS SUBSCRIPTION SALES</t>
  </si>
  <si>
    <t xml:space="preserve"> </t>
  </si>
  <si>
    <t>Pergunta de Negócio 1 - Qual faturamento Total de vendas de planos anuais (contendo todas as assinaturas agregadas) e sperada por auto renovaçao ou não</t>
  </si>
  <si>
    <t>Soma de Minecraft Season Pass Price</t>
  </si>
  <si>
    <t>Bem vindo , Arthur</t>
  </si>
  <si>
    <t>pergunta de negocio 2 - qual é o que vende mais e quanto vende ?</t>
  </si>
  <si>
    <t>Soma de Coupon Value</t>
  </si>
  <si>
    <t>Média de Total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</si>
</sst>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&quot;R$&quot;\ #,##0.00"/>
    <numFmt numFmtId="165" formatCode="_-[$R$-416]\ * #,##0.00_-;\-[$R$-416]\ * #,##0.00_-;_-[$R$-416]\ * &quot;-&quot;??_-;_-@_-"/>
  </numFmts>
  <fonts count="5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2"/>
      <color rgb="FF22C55E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2" applyFont="1"/>
    <xf numFmtId="44" fontId="0" fillId="7" borderId="0" xfId="2" applyFont="1" applyFill="1"/>
    <xf numFmtId="164" fontId="0" fillId="0" borderId="0" xfId="0" applyNumberForma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65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1"/>
        <name val="Segoe UI Light"/>
        <family val="2"/>
        <scheme val="none"/>
      </font>
      <border>
        <bottom style="thin">
          <color theme="6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3 2" pivot="0" table="0" count="10" xr9:uid="{36A4DF3F-5D1A-4558-8E5C-4D865DCA161D}">
      <tableStyleElement type="wholeTable" dxfId="15"/>
      <tableStyleElement type="headerRow" dxfId="14"/>
    </tableStyle>
  </tableStyles>
  <colors>
    <mruColors>
      <color rgb="FF9BC848"/>
      <color rgb="FF2AE6B1"/>
      <color rgb="FF22C55E"/>
      <color rgb="FFE8E6E9"/>
      <color rgb="FF5BF6A8"/>
      <color rgb="FF000000"/>
      <color rgb="FFE0E0E0"/>
      <color rgb="FFEDEDED"/>
      <color rgb="FFF7F8FC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6" tint="0.79998168889431442"/>
              <bgColor theme="6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6" tint="0.59999389629810485"/>
              <bgColor theme="6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3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[excel-xbox-game-pass-dashboard.xlsx]C̳álculos!Tabela dinâmica4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AE6B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2AE6B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0576882604091021E-2"/>
          <c:y val="8.3749999999999991E-2"/>
          <c:w val="0.88523143971260254"/>
          <c:h val="0.9162500000000000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AE6B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2AE6B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C̳álculos!$A$10:$A$12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C̳álculos!$B$10:$B$12</c:f>
              <c:numCache>
                <c:formatCode>_("R$"* #,##0.00_);_("R$"* \(#,##0.00\);_("R$"* "-"??_);_(@_)</c:formatCode>
                <c:ptCount val="2"/>
                <c:pt idx="0">
                  <c:v>806</c:v>
                </c:pt>
                <c:pt idx="1">
                  <c:v>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EC-4DAC-9649-D57888FE0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3149376"/>
        <c:axId val="1970503792"/>
      </c:barChart>
      <c:catAx>
        <c:axId val="2053149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0503792"/>
        <c:crosses val="autoZero"/>
        <c:auto val="1"/>
        <c:lblAlgn val="ctr"/>
        <c:lblOffset val="100"/>
        <c:noMultiLvlLbl val="0"/>
      </c:catAx>
      <c:valAx>
        <c:axId val="1970503792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53149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[excel-xbox-game-pass-dashboard.xlsx]C̳álculos!Tabela dinâmica3</c:name>
    <c:fmtId val="2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0710756488753694E-2"/>
          <c:y val="0.16900092524792429"/>
          <c:w val="0.85707977393486667"/>
          <c:h val="0.8309990747520756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C̳álculos!$B$1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5BF6A8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C̳álculos!$A$2:$A$5</c:f>
              <c:strCache>
                <c:ptCount val="3"/>
                <c:pt idx="0">
                  <c:v>Core</c:v>
                </c:pt>
                <c:pt idx="1">
                  <c:v>Standard</c:v>
                </c:pt>
                <c:pt idx="2">
                  <c:v>Ultimate</c:v>
                </c:pt>
              </c:strCache>
            </c:strRef>
          </c:cat>
          <c:val>
            <c:numRef>
              <c:f>C̳álculos!$B$2:$B$5</c:f>
              <c:numCache>
                <c:formatCode>_("R$"* #,##0.00_);_("R$"* \(#,##0.00\);_("R$"* "-"??_);_(@_)</c:formatCode>
                <c:ptCount val="3"/>
                <c:pt idx="0">
                  <c:v>132</c:v>
                </c:pt>
                <c:pt idx="1">
                  <c:v>395</c:v>
                </c:pt>
                <c:pt idx="2">
                  <c:v>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6-40E1-9DB7-35B7A60EB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01334688"/>
        <c:axId val="597046000"/>
      </c:barChart>
      <c:catAx>
        <c:axId val="1901334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7046000"/>
        <c:crosses val="autoZero"/>
        <c:auto val="1"/>
        <c:lblAlgn val="ctr"/>
        <c:lblOffset val="100"/>
        <c:noMultiLvlLbl val="0"/>
      </c:catAx>
      <c:valAx>
        <c:axId val="597046000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90133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'D&#819;ashboard (2)'!A1"/><Relationship Id="rId3" Type="http://schemas.openxmlformats.org/officeDocument/2006/relationships/image" Target="../media/image6.png"/><Relationship Id="rId7" Type="http://schemas.openxmlformats.org/officeDocument/2006/relationships/image" Target="../media/image10.svg"/><Relationship Id="rId2" Type="http://schemas.openxmlformats.org/officeDocument/2006/relationships/image" Target="../media/image7.png"/><Relationship Id="rId1" Type="http://schemas.openxmlformats.org/officeDocument/2006/relationships/image" Target="../media/image1.png"/><Relationship Id="rId6" Type="http://schemas.openxmlformats.org/officeDocument/2006/relationships/image" Target="../media/image9.png"/><Relationship Id="rId5" Type="http://schemas.openxmlformats.org/officeDocument/2006/relationships/image" Target="../media/image11.png"/><Relationship Id="rId4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6.png"/><Relationship Id="rId1" Type="http://schemas.openxmlformats.org/officeDocument/2006/relationships/image" Target="../media/image1.png"/><Relationship Id="rId4" Type="http://schemas.openxmlformats.org/officeDocument/2006/relationships/hyperlink" Target="#D&#819;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410199"/>
          <a:ext cx="1549476" cy="7524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80963</xdr:colOff>
      <xdr:row>0</xdr:row>
      <xdr:rowOff>118657</xdr:rowOff>
    </xdr:from>
    <xdr:to>
      <xdr:col>2</xdr:col>
      <xdr:colOff>509587</xdr:colOff>
      <xdr:row>3</xdr:row>
      <xdr:rowOff>21431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6295B7D-3B4E-43A9-B940-A581182E796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7469" b="-3135"/>
        <a:stretch>
          <a:fillRect/>
        </a:stretch>
      </xdr:blipFill>
      <xdr:spPr>
        <a:xfrm>
          <a:off x="2947988" y="118657"/>
          <a:ext cx="666749" cy="645724"/>
        </a:xfrm>
        <a:prstGeom prst="rect">
          <a:avLst/>
        </a:prstGeom>
      </xdr:spPr>
    </xdr:pic>
    <xdr:clientData/>
  </xdr:twoCellAnchor>
  <xdr:twoCellAnchor editAs="absolute">
    <xdr:from>
      <xdr:col>0</xdr:col>
      <xdr:colOff>130969</xdr:colOff>
      <xdr:row>10</xdr:row>
      <xdr:rowOff>109538</xdr:rowOff>
    </xdr:from>
    <xdr:to>
      <xdr:col>0</xdr:col>
      <xdr:colOff>2738437</xdr:colOff>
      <xdr:row>18</xdr:row>
      <xdr:rowOff>50006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bscription Type">
              <a:extLst>
                <a:ext uri="{FF2B5EF4-FFF2-40B4-BE49-F238E27FC236}">
                  <a16:creationId xmlns:a16="http://schemas.microsoft.com/office/drawing/2014/main" id="{D70BC241-7F5F-4880-8725-CBFB594F91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969" y="2205038"/>
              <a:ext cx="2607468" cy="14644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85000</xdr:colOff>
      <xdr:row>6</xdr:row>
      <xdr:rowOff>77125</xdr:rowOff>
    </xdr:from>
    <xdr:to>
      <xdr:col>9</xdr:col>
      <xdr:colOff>230550</xdr:colOff>
      <xdr:row>16</xdr:row>
      <xdr:rowOff>115271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825BCDF2-86ED-D29B-D134-6C599D57C166}"/>
            </a:ext>
          </a:extLst>
        </xdr:cNvPr>
        <xdr:cNvGrpSpPr/>
      </xdr:nvGrpSpPr>
      <xdr:grpSpPr>
        <a:xfrm>
          <a:off x="3190150" y="1391575"/>
          <a:ext cx="4612775" cy="1962196"/>
          <a:chOff x="3091891" y="1723933"/>
          <a:chExt cx="5089301" cy="1952717"/>
        </a:xfrm>
      </xdr:grpSpPr>
      <xdr:grpSp>
        <xdr:nvGrpSpPr>
          <xdr:cNvPr id="10" name="Agrupar 9">
            <a:extLst>
              <a:ext uri="{FF2B5EF4-FFF2-40B4-BE49-F238E27FC236}">
                <a16:creationId xmlns:a16="http://schemas.microsoft.com/office/drawing/2014/main" id="{3AB538FD-B4C2-DF51-DD57-89FCCD7039EA}"/>
              </a:ext>
            </a:extLst>
          </xdr:cNvPr>
          <xdr:cNvGrpSpPr/>
        </xdr:nvGrpSpPr>
        <xdr:grpSpPr>
          <a:xfrm>
            <a:off x="3091891" y="1914283"/>
            <a:ext cx="5089301" cy="1762367"/>
            <a:chOff x="3063316" y="1333500"/>
            <a:chExt cx="5089301" cy="2352675"/>
          </a:xfrm>
        </xdr:grpSpPr>
        <xdr:sp macro="" textlink="C̳álculos!G5">
          <xdr:nvSpPr>
            <xdr:cNvPr id="7" name="Retângulo: Cantos Arredondados 6">
              <a:extLst>
                <a:ext uri="{FF2B5EF4-FFF2-40B4-BE49-F238E27FC236}">
                  <a16:creationId xmlns:a16="http://schemas.microsoft.com/office/drawing/2014/main" id="{4797AC64-4820-E960-49F6-E60CFAF2B62B}"/>
                </a:ext>
              </a:extLst>
            </xdr:cNvPr>
            <xdr:cNvSpPr/>
          </xdr:nvSpPr>
          <xdr:spPr>
            <a:xfrm>
              <a:off x="3094843" y="1333500"/>
              <a:ext cx="5057774" cy="2352675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A91A17A6-7737-4A9B-942F-14F876901AE5}" type="TxLink">
                <a:rPr lang="en-US" sz="3600" b="0" i="0" u="none" strike="noStrike">
                  <a:solidFill>
                    <a:srgbClr val="2AE6B1"/>
                  </a:solidFill>
                  <a:latin typeface="Aptos Narrow"/>
                </a:rPr>
                <a:pPr algn="ctr"/>
                <a:t> R$ 990,00 </a:t>
              </a:fld>
              <a:endParaRPr lang="pt-BR" sz="3600">
                <a:solidFill>
                  <a:srgbClr val="2AE6B1"/>
                </a:solidFill>
              </a:endParaRPr>
            </a:p>
          </xdr:txBody>
        </xdr:sp>
        <xdr:pic>
          <xdr:nvPicPr>
            <xdr:cNvPr id="9" name="Imagem 8">
              <a:extLst>
                <a:ext uri="{FF2B5EF4-FFF2-40B4-BE49-F238E27FC236}">
                  <a16:creationId xmlns:a16="http://schemas.microsoft.com/office/drawing/2014/main" id="{E89416F9-6B8E-4110-8866-5682BA9B3F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063316" y="1761479"/>
              <a:ext cx="1349792" cy="1531133"/>
            </a:xfrm>
            <a:prstGeom prst="rect">
              <a:avLst/>
            </a:prstGeom>
          </xdr:spPr>
        </xdr:pic>
      </xdr:grpSp>
      <xdr:sp macro="" textlink="">
        <xdr:nvSpPr>
          <xdr:cNvPr id="8" name="Retângulo: Cantos Superiores Arredondados 7">
            <a:extLst>
              <a:ext uri="{FF2B5EF4-FFF2-40B4-BE49-F238E27FC236}">
                <a16:creationId xmlns:a16="http://schemas.microsoft.com/office/drawing/2014/main" id="{7EF6C9BA-58BC-D2D6-DD4E-084705607F80}"/>
              </a:ext>
            </a:extLst>
          </xdr:cNvPr>
          <xdr:cNvSpPr/>
        </xdr:nvSpPr>
        <xdr:spPr>
          <a:xfrm>
            <a:off x="3124218" y="1723933"/>
            <a:ext cx="5054823" cy="385295"/>
          </a:xfrm>
          <a:prstGeom prst="round2SameRect">
            <a:avLst/>
          </a:prstGeom>
          <a:solidFill>
            <a:srgbClr val="9BC848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 fontAlgn="t"/>
            <a:r>
              <a:rPr lang="pt-BR" sz="1500" b="0" i="0">
                <a:solidFill>
                  <a:schemeClr val="lt1"/>
                </a:solidFill>
                <a:effectLst/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rPr>
              <a:t>TOTAL EA PLAY SEASON PASS REVENUE</a:t>
            </a:r>
          </a:p>
        </xdr:txBody>
      </xdr:sp>
    </xdr:grpSp>
    <xdr:clientData/>
  </xdr:twoCellAnchor>
  <xdr:twoCellAnchor editAs="absolute">
    <xdr:from>
      <xdr:col>0</xdr:col>
      <xdr:colOff>990600</xdr:colOff>
      <xdr:row>0</xdr:row>
      <xdr:rowOff>180975</xdr:rowOff>
    </xdr:from>
    <xdr:to>
      <xdr:col>0</xdr:col>
      <xdr:colOff>1685925</xdr:colOff>
      <xdr:row>4</xdr:row>
      <xdr:rowOff>114300</xdr:rowOff>
    </xdr:to>
    <xdr:sp macro="" textlink="">
      <xdr:nvSpPr>
        <xdr:cNvPr id="13" name="Elipse 12">
          <a:extLst>
            <a:ext uri="{FF2B5EF4-FFF2-40B4-BE49-F238E27FC236}">
              <a16:creationId xmlns:a16="http://schemas.microsoft.com/office/drawing/2014/main" id="{66B7384D-859E-4264-AFC3-7B3EE011D1D7}"/>
            </a:ext>
          </a:extLst>
        </xdr:cNvPr>
        <xdr:cNvSpPr/>
      </xdr:nvSpPr>
      <xdr:spPr>
        <a:xfrm>
          <a:off x="990600" y="180975"/>
          <a:ext cx="695325" cy="695325"/>
        </a:xfrm>
        <a:prstGeom prst="ellipse">
          <a:avLst/>
        </a:prstGeom>
        <a:blipFill>
          <a:blip xmlns:r="http://schemas.openxmlformats.org/officeDocument/2006/relationships" r:embed="rId3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2</xdr:col>
      <xdr:colOff>133350</xdr:colOff>
      <xdr:row>18</xdr:row>
      <xdr:rowOff>85726</xdr:rowOff>
    </xdr:from>
    <xdr:to>
      <xdr:col>18</xdr:col>
      <xdr:colOff>285750</xdr:colOff>
      <xdr:row>35</xdr:row>
      <xdr:rowOff>85725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C103DAC8-109D-3245-9B55-44A18EFD376F}"/>
            </a:ext>
          </a:extLst>
        </xdr:cNvPr>
        <xdr:cNvGrpSpPr/>
      </xdr:nvGrpSpPr>
      <xdr:grpSpPr>
        <a:xfrm>
          <a:off x="3238500" y="3705226"/>
          <a:ext cx="9934575" cy="3238499"/>
          <a:chOff x="3257550" y="3743326"/>
          <a:chExt cx="6896100" cy="3238499"/>
        </a:xfrm>
      </xdr:grpSpPr>
      <xdr:grpSp>
        <xdr:nvGrpSpPr>
          <xdr:cNvPr id="15" name="Agrupar 14">
            <a:extLst>
              <a:ext uri="{FF2B5EF4-FFF2-40B4-BE49-F238E27FC236}">
                <a16:creationId xmlns:a16="http://schemas.microsoft.com/office/drawing/2014/main" id="{F423C47E-622A-749F-665F-9232899AF88D}"/>
              </a:ext>
            </a:extLst>
          </xdr:cNvPr>
          <xdr:cNvGrpSpPr/>
        </xdr:nvGrpSpPr>
        <xdr:grpSpPr>
          <a:xfrm>
            <a:off x="3276600" y="3781425"/>
            <a:ext cx="6858000" cy="3200400"/>
            <a:chOff x="3848100" y="3838575"/>
            <a:chExt cx="6991350" cy="3200400"/>
          </a:xfrm>
        </xdr:grpSpPr>
        <xdr:sp macro="" textlink="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7BCEBFD9-ADAD-6D1D-BA6A-7CDE6280981A}"/>
                </a:ext>
              </a:extLst>
            </xdr:cNvPr>
            <xdr:cNvSpPr/>
          </xdr:nvSpPr>
          <xdr:spPr>
            <a:xfrm>
              <a:off x="3848100" y="3838575"/>
              <a:ext cx="6991350" cy="3200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D8550D58-18F6-4E40-A9BE-7151C303F60F}"/>
                </a:ext>
              </a:extLst>
            </xdr:cNvPr>
            <xdr:cNvGraphicFramePr>
              <a:graphicFrameLocks/>
            </xdr:cNvGraphicFramePr>
          </xdr:nvGraphicFramePr>
          <xdr:xfrm>
            <a:off x="4267200" y="4048125"/>
            <a:ext cx="6396623" cy="27432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sp macro="" textlink="">
        <xdr:nvSpPr>
          <xdr:cNvPr id="16" name="Retângulo: Cantos Superiores Arredondados 15">
            <a:extLst>
              <a:ext uri="{FF2B5EF4-FFF2-40B4-BE49-F238E27FC236}">
                <a16:creationId xmlns:a16="http://schemas.microsoft.com/office/drawing/2014/main" id="{89101BBD-8E30-723B-6048-1A38B010BDC0}"/>
              </a:ext>
            </a:extLst>
          </xdr:cNvPr>
          <xdr:cNvSpPr/>
        </xdr:nvSpPr>
        <xdr:spPr>
          <a:xfrm>
            <a:off x="3257550" y="3743326"/>
            <a:ext cx="6896100" cy="533400"/>
          </a:xfrm>
          <a:prstGeom prst="round2SameRect">
            <a:avLst/>
          </a:prstGeom>
          <a:solidFill>
            <a:srgbClr val="9BC848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500" b="1">
                <a:solidFill>
                  <a:schemeClr val="lt1"/>
                </a:solidFill>
                <a:effectLst/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rPr>
              <a:t>TOTAL SUBSCRIPTIONS XBOX</a:t>
            </a:r>
            <a:r>
              <a:rPr lang="pt-BR" sz="1500" b="1" baseline="0">
                <a:solidFill>
                  <a:schemeClr val="lt1"/>
                </a:solidFill>
                <a:effectLst/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rPr>
              <a:t> GAME PASS</a:t>
            </a:r>
            <a:endParaRPr lang="pt-BR" sz="1500">
              <a:effectLst/>
              <a:latin typeface="Segoe UI Light" panose="020B0502040204020203" pitchFamily="34" charset="0"/>
              <a:cs typeface="Segoe UI Light" panose="020B0502040204020203" pitchFamily="34" charset="0"/>
            </a:endParaRPr>
          </a:p>
          <a:p>
            <a:pPr algn="ctr"/>
            <a:endParaRPr lang="pt-BR" sz="1100"/>
          </a:p>
        </xdr:txBody>
      </xdr:sp>
    </xdr:grpSp>
    <xdr:clientData/>
  </xdr:twoCellAnchor>
  <xdr:twoCellAnchor editAs="absolute">
    <xdr:from>
      <xdr:col>10</xdr:col>
      <xdr:colOff>133349</xdr:colOff>
      <xdr:row>6</xdr:row>
      <xdr:rowOff>76200</xdr:rowOff>
    </xdr:from>
    <xdr:to>
      <xdr:col>18</xdr:col>
      <xdr:colOff>247650</xdr:colOff>
      <xdr:row>16</xdr:row>
      <xdr:rowOff>114346</xdr:rowOff>
    </xdr:to>
    <xdr:grpSp>
      <xdr:nvGrpSpPr>
        <xdr:cNvPr id="26" name="Agrupar 25">
          <a:extLst>
            <a:ext uri="{FF2B5EF4-FFF2-40B4-BE49-F238E27FC236}">
              <a16:creationId xmlns:a16="http://schemas.microsoft.com/office/drawing/2014/main" id="{B21628FB-99AF-47E1-7CE3-4EFD43A2F7BA}"/>
            </a:ext>
          </a:extLst>
        </xdr:cNvPr>
        <xdr:cNvGrpSpPr/>
      </xdr:nvGrpSpPr>
      <xdr:grpSpPr>
        <a:xfrm>
          <a:off x="8315324" y="1390650"/>
          <a:ext cx="4819651" cy="1962196"/>
          <a:chOff x="8439149" y="1504950"/>
          <a:chExt cx="4762501" cy="1962196"/>
        </a:xfrm>
      </xdr:grpSpPr>
      <xdr:grpSp>
        <xdr:nvGrpSpPr>
          <xdr:cNvPr id="5" name="Agrupar 4">
            <a:extLst>
              <a:ext uri="{FF2B5EF4-FFF2-40B4-BE49-F238E27FC236}">
                <a16:creationId xmlns:a16="http://schemas.microsoft.com/office/drawing/2014/main" id="{81A54344-5D5A-461A-952B-41D390D07987}"/>
              </a:ext>
            </a:extLst>
          </xdr:cNvPr>
          <xdr:cNvGrpSpPr/>
        </xdr:nvGrpSpPr>
        <xdr:grpSpPr>
          <a:xfrm>
            <a:off x="8439149" y="1504950"/>
            <a:ext cx="4762501" cy="1962196"/>
            <a:chOff x="3144523" y="1723933"/>
            <a:chExt cx="5076198" cy="1952717"/>
          </a:xfrm>
        </xdr:grpSpPr>
        <xdr:sp macro="" textlink="C̳álculos!G13">
          <xdr:nvSpPr>
            <xdr:cNvPr id="19" name="Retângulo: Cantos Arredondados 18">
              <a:extLst>
                <a:ext uri="{FF2B5EF4-FFF2-40B4-BE49-F238E27FC236}">
                  <a16:creationId xmlns:a16="http://schemas.microsoft.com/office/drawing/2014/main" id="{B4D926C5-E4F3-8A78-0B6F-D1D9A6C92CC1}"/>
                </a:ext>
              </a:extLst>
            </xdr:cNvPr>
            <xdr:cNvSpPr/>
          </xdr:nvSpPr>
          <xdr:spPr>
            <a:xfrm>
              <a:off x="3153404" y="1914283"/>
              <a:ext cx="5057775" cy="1762367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C4F7858-9BE1-414E-911E-37BDBC852443}" type="TxLink">
                <a:rPr lang="en-US" sz="3600" b="0" i="0" u="none" strike="noStrike">
                  <a:solidFill>
                    <a:srgbClr val="2AE6B1"/>
                  </a:solidFill>
                  <a:latin typeface="Aptos Narrow"/>
                </a:rPr>
                <a:pPr algn="ctr"/>
                <a:t>R$ 1.140,00</a:t>
              </a:fld>
              <a:endParaRPr lang="pt-BR" sz="3600">
                <a:solidFill>
                  <a:srgbClr val="2AE6B1"/>
                </a:solidFill>
              </a:endParaRPr>
            </a:p>
          </xdr:txBody>
        </xdr:sp>
        <xdr:sp macro="" textlink="">
          <xdr:nvSpPr>
            <xdr:cNvPr id="18" name="Retângulo: Cantos Superiores Arredondados 17">
              <a:extLst>
                <a:ext uri="{FF2B5EF4-FFF2-40B4-BE49-F238E27FC236}">
                  <a16:creationId xmlns:a16="http://schemas.microsoft.com/office/drawing/2014/main" id="{91F5B189-FEA2-692B-C3B0-86418793E829}"/>
                </a:ext>
              </a:extLst>
            </xdr:cNvPr>
            <xdr:cNvSpPr/>
          </xdr:nvSpPr>
          <xdr:spPr>
            <a:xfrm>
              <a:off x="3144523" y="1723933"/>
              <a:ext cx="5076198" cy="385295"/>
            </a:xfrm>
            <a:prstGeom prst="round2SameRect">
              <a:avLst/>
            </a:prstGeom>
            <a:solidFill>
              <a:srgbClr val="9BC848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 fontAlgn="t"/>
              <a:r>
                <a:rPr lang="pt-BR" sz="1500" b="0" i="0">
                  <a:solidFill>
                    <a:schemeClr val="lt1"/>
                  </a:solidFill>
                  <a:effectLst/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rPr>
                <a:t>TOTAL MINECRAFT PASS REVENUE</a:t>
              </a: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E4416884-F5CD-438F-889F-C5CDF8A63E95}"/>
              </a:ext>
            </a:extLst>
          </xdr:cNvPr>
          <xdr:cNvGrpSpPr/>
        </xdr:nvGrpSpPr>
        <xdr:grpSpPr>
          <a:xfrm>
            <a:off x="8524875" y="2266950"/>
            <a:ext cx="1019176" cy="533400"/>
            <a:chOff x="3495675" y="5400674"/>
            <a:chExt cx="1549476" cy="752476"/>
          </a:xfrm>
        </xdr:grpSpPr>
        <xdr:pic>
          <xdr:nvPicPr>
            <xdr:cNvPr id="22" name="Imagem 21">
              <a:extLst>
                <a:ext uri="{FF2B5EF4-FFF2-40B4-BE49-F238E27FC236}">
                  <a16:creationId xmlns:a16="http://schemas.microsoft.com/office/drawing/2014/main" id="{B5770FCC-7292-1177-1A00-FE0D8805F2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3" name="Gráfico 22">
              <a:extLst>
                <a:ext uri="{FF2B5EF4-FFF2-40B4-BE49-F238E27FC236}">
                  <a16:creationId xmlns:a16="http://schemas.microsoft.com/office/drawing/2014/main" id="{69B45485-0E23-466A-3663-4A6FDF67B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>
              <a:extLst>
                <a:ext uri="{96DAC541-7B7A-43D3-8B79-37D633B846F1}">
                  <asvg:svgBlip xmlns:asvg="http://schemas.microsoft.com/office/drawing/2016/SVG/main" r:embed="rId7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</xdr:col>
      <xdr:colOff>600075</xdr:colOff>
      <xdr:row>3</xdr:row>
      <xdr:rowOff>85725</xdr:rowOff>
    </xdr:from>
    <xdr:to>
      <xdr:col>18</xdr:col>
      <xdr:colOff>247650</xdr:colOff>
      <xdr:row>3</xdr:row>
      <xdr:rowOff>85725</xdr:rowOff>
    </xdr:to>
    <xdr:cxnSp macro="">
      <xdr:nvCxnSpPr>
        <xdr:cNvPr id="25" name="Conector reto 24">
          <a:extLst>
            <a:ext uri="{FF2B5EF4-FFF2-40B4-BE49-F238E27FC236}">
              <a16:creationId xmlns:a16="http://schemas.microsoft.com/office/drawing/2014/main" id="{2E9A934E-78CD-8D92-085F-2F922221029F}"/>
            </a:ext>
          </a:extLst>
        </xdr:cNvPr>
        <xdr:cNvCxnSpPr/>
      </xdr:nvCxnSpPr>
      <xdr:spPr>
        <a:xfrm>
          <a:off x="3705225" y="657225"/>
          <a:ext cx="9429750" cy="0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419100</xdr:colOff>
      <xdr:row>36</xdr:row>
      <xdr:rowOff>161925</xdr:rowOff>
    </xdr:from>
    <xdr:to>
      <xdr:col>18</xdr:col>
      <xdr:colOff>276225</xdr:colOff>
      <xdr:row>40</xdr:row>
      <xdr:rowOff>0</xdr:rowOff>
    </xdr:to>
    <xdr:sp macro="" textlink="">
      <xdr:nvSpPr>
        <xdr:cNvPr id="4" name="Retângulo: Cantos Arredondados 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A9D2E49-6909-801D-087A-5334023106A9}"/>
            </a:ext>
          </a:extLst>
        </xdr:cNvPr>
        <xdr:cNvSpPr/>
      </xdr:nvSpPr>
      <xdr:spPr>
        <a:xfrm>
          <a:off x="10868025" y="7210425"/>
          <a:ext cx="2295525" cy="600075"/>
        </a:xfrm>
        <a:prstGeom prst="roundRect">
          <a:avLst/>
        </a:prstGeom>
        <a:solidFill>
          <a:srgbClr val="9BC84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NEXT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80963</xdr:colOff>
      <xdr:row>0</xdr:row>
      <xdr:rowOff>118657</xdr:rowOff>
    </xdr:from>
    <xdr:to>
      <xdr:col>2</xdr:col>
      <xdr:colOff>509587</xdr:colOff>
      <xdr:row>3</xdr:row>
      <xdr:rowOff>21431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9A42DA-F7D1-4469-8B58-7D79BD80387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7469" b="-3135"/>
        <a:stretch>
          <a:fillRect/>
        </a:stretch>
      </xdr:blipFill>
      <xdr:spPr>
        <a:xfrm>
          <a:off x="2947988" y="118657"/>
          <a:ext cx="666749" cy="645724"/>
        </a:xfrm>
        <a:prstGeom prst="rect">
          <a:avLst/>
        </a:prstGeom>
      </xdr:spPr>
    </xdr:pic>
    <xdr:clientData/>
  </xdr:twoCellAnchor>
  <xdr:twoCellAnchor editAs="absolute">
    <xdr:from>
      <xdr:col>0</xdr:col>
      <xdr:colOff>130969</xdr:colOff>
      <xdr:row>10</xdr:row>
      <xdr:rowOff>109538</xdr:rowOff>
    </xdr:from>
    <xdr:to>
      <xdr:col>0</xdr:col>
      <xdr:colOff>2738437</xdr:colOff>
      <xdr:row>18</xdr:row>
      <xdr:rowOff>50006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ubscription Type 1">
              <a:extLst>
                <a:ext uri="{FF2B5EF4-FFF2-40B4-BE49-F238E27FC236}">
                  <a16:creationId xmlns:a16="http://schemas.microsoft.com/office/drawing/2014/main" id="{5845F962-C692-46F9-A76D-6B4961E86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0969" y="2205038"/>
              <a:ext cx="2607468" cy="14644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171450</xdr:colOff>
      <xdr:row>6</xdr:row>
      <xdr:rowOff>58075</xdr:rowOff>
    </xdr:from>
    <xdr:to>
      <xdr:col>9</xdr:col>
      <xdr:colOff>314325</xdr:colOff>
      <xdr:row>16</xdr:row>
      <xdr:rowOff>105746</xdr:rowOff>
    </xdr:to>
    <xdr:grpSp>
      <xdr:nvGrpSpPr>
        <xdr:cNvPr id="4" name="Agrupar 3">
          <a:extLst>
            <a:ext uri="{FF2B5EF4-FFF2-40B4-BE49-F238E27FC236}">
              <a16:creationId xmlns:a16="http://schemas.microsoft.com/office/drawing/2014/main" id="{ED4777C8-638C-49C3-9572-F58B5E4D265D}"/>
            </a:ext>
          </a:extLst>
        </xdr:cNvPr>
        <xdr:cNvGrpSpPr/>
      </xdr:nvGrpSpPr>
      <xdr:grpSpPr>
        <a:xfrm>
          <a:off x="3276600" y="1372525"/>
          <a:ext cx="4610100" cy="1971721"/>
          <a:chOff x="3124218" y="1714454"/>
          <a:chExt cx="5086349" cy="1962196"/>
        </a:xfrm>
      </xdr:grpSpPr>
      <xdr:sp macro="" textlink="C̳álculos!E23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2AC857B5-A0A7-1239-D119-B97D5E2D3349}"/>
              </a:ext>
            </a:extLst>
          </xdr:cNvPr>
          <xdr:cNvSpPr/>
        </xdr:nvSpPr>
        <xdr:spPr>
          <a:xfrm>
            <a:off x="3143250" y="1914283"/>
            <a:ext cx="5057774" cy="1762367"/>
          </a:xfrm>
          <a:prstGeom prst="roundRect">
            <a:avLst>
              <a:gd name="adj" fmla="val 0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82C6B993-8552-4881-8F21-4F65A704A487}" type="TxLink">
              <a:rPr lang="en-US" sz="3600" b="0" i="0" u="none" strike="noStrike">
                <a:solidFill>
                  <a:srgbClr val="2AE6B1"/>
                </a:solidFill>
                <a:latin typeface="Aptos Narrow"/>
              </a:rPr>
              <a:pPr algn="ctr"/>
              <a:t>R$ 27,15</a:t>
            </a:fld>
            <a:endParaRPr lang="pt-BR" sz="3600">
              <a:solidFill>
                <a:srgbClr val="2AE6B1"/>
              </a:solidFill>
            </a:endParaRPr>
          </a:p>
        </xdr:txBody>
      </xdr:sp>
      <xdr:sp macro="" textlink="">
        <xdr:nvSpPr>
          <xdr:cNvPr id="6" name="Retângulo: Cantos Superiores Arredondados 5">
            <a:extLst>
              <a:ext uri="{FF2B5EF4-FFF2-40B4-BE49-F238E27FC236}">
                <a16:creationId xmlns:a16="http://schemas.microsoft.com/office/drawing/2014/main" id="{805770EA-FD5B-C6AC-8A5D-FA71F559C47F}"/>
              </a:ext>
            </a:extLst>
          </xdr:cNvPr>
          <xdr:cNvSpPr/>
        </xdr:nvSpPr>
        <xdr:spPr>
          <a:xfrm>
            <a:off x="3124218" y="1714454"/>
            <a:ext cx="5086349" cy="385295"/>
          </a:xfrm>
          <a:prstGeom prst="round2SameRect">
            <a:avLst/>
          </a:prstGeom>
          <a:solidFill>
            <a:srgbClr val="9BC848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 fontAlgn="t"/>
            <a:r>
              <a:rPr lang="pt-BR" sz="1500" b="0" i="0">
                <a:solidFill>
                  <a:schemeClr val="lt1"/>
                </a:solidFill>
                <a:effectLst/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rPr>
              <a:t>AVERAGE REVENUE PER SUBSCRIPTION</a:t>
            </a:r>
          </a:p>
        </xdr:txBody>
      </xdr:sp>
    </xdr:grpSp>
    <xdr:clientData/>
  </xdr:twoCellAnchor>
  <xdr:twoCellAnchor editAs="absolute">
    <xdr:from>
      <xdr:col>0</xdr:col>
      <xdr:colOff>990600</xdr:colOff>
      <xdr:row>0</xdr:row>
      <xdr:rowOff>180975</xdr:rowOff>
    </xdr:from>
    <xdr:to>
      <xdr:col>0</xdr:col>
      <xdr:colOff>1685925</xdr:colOff>
      <xdr:row>4</xdr:row>
      <xdr:rowOff>114300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EA0E7917-81FF-42CF-B007-93F5AE57B2D9}"/>
            </a:ext>
          </a:extLst>
        </xdr:cNvPr>
        <xdr:cNvSpPr/>
      </xdr:nvSpPr>
      <xdr:spPr>
        <a:xfrm>
          <a:off x="990600" y="180975"/>
          <a:ext cx="695325" cy="866775"/>
        </a:xfrm>
        <a:prstGeom prst="ellipse">
          <a:avLst/>
        </a:prstGeom>
        <a:blipFill>
          <a:blip xmlns:r="http://schemas.openxmlformats.org/officeDocument/2006/relationships" r:embed="rId2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10</xdr:col>
      <xdr:colOff>133349</xdr:colOff>
      <xdr:row>6</xdr:row>
      <xdr:rowOff>76199</xdr:rowOff>
    </xdr:from>
    <xdr:to>
      <xdr:col>18</xdr:col>
      <xdr:colOff>247650</xdr:colOff>
      <xdr:row>16</xdr:row>
      <xdr:rowOff>114346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648FD744-1E1E-9033-2B1F-13DCDB9F76C4}"/>
            </a:ext>
          </a:extLst>
        </xdr:cNvPr>
        <xdr:cNvGrpSpPr/>
      </xdr:nvGrpSpPr>
      <xdr:grpSpPr>
        <a:xfrm>
          <a:off x="8315324" y="1390649"/>
          <a:ext cx="4819651" cy="1962197"/>
          <a:chOff x="3144523" y="1723932"/>
          <a:chExt cx="5076198" cy="1952718"/>
        </a:xfrm>
      </xdr:grpSpPr>
      <xdr:sp macro="" textlink="C̳álculos!E17">
        <xdr:nvSpPr>
          <xdr:cNvPr id="20" name="Retângulo: Cantos Arredondados 19">
            <a:extLst>
              <a:ext uri="{FF2B5EF4-FFF2-40B4-BE49-F238E27FC236}">
                <a16:creationId xmlns:a16="http://schemas.microsoft.com/office/drawing/2014/main" id="{C46591E1-53B2-5E53-E42B-6A2DACA6524B}"/>
              </a:ext>
            </a:extLst>
          </xdr:cNvPr>
          <xdr:cNvSpPr/>
        </xdr:nvSpPr>
        <xdr:spPr>
          <a:xfrm>
            <a:off x="3153403" y="1914283"/>
            <a:ext cx="5057775" cy="1762367"/>
          </a:xfrm>
          <a:prstGeom prst="roundRect">
            <a:avLst>
              <a:gd name="adj" fmla="val 0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3B2AC3E2-CBEF-4944-8802-A5214D149DD9}" type="TxLink">
              <a:rPr lang="en-US" sz="3600" b="0" i="0" u="none" strike="noStrike">
                <a:solidFill>
                  <a:srgbClr val="2AE6B1"/>
                </a:solidFill>
                <a:latin typeface="Aptos Narrow"/>
              </a:rPr>
              <a:pPr algn="ctr"/>
              <a:t> R$ 697,00 </a:t>
            </a:fld>
            <a:endParaRPr lang="pt-BR" sz="3600">
              <a:solidFill>
                <a:srgbClr val="2AE6B1"/>
              </a:solidFill>
            </a:endParaRPr>
          </a:p>
        </xdr:txBody>
      </xdr:sp>
      <xdr:sp macro="" textlink="">
        <xdr:nvSpPr>
          <xdr:cNvPr id="21" name="Retângulo: Cantos Superiores Arredondados 20">
            <a:extLst>
              <a:ext uri="{FF2B5EF4-FFF2-40B4-BE49-F238E27FC236}">
                <a16:creationId xmlns:a16="http://schemas.microsoft.com/office/drawing/2014/main" id="{2BEDAF8C-3642-E400-312C-7F1E4DAB4CFE}"/>
              </a:ext>
            </a:extLst>
          </xdr:cNvPr>
          <xdr:cNvSpPr/>
        </xdr:nvSpPr>
        <xdr:spPr>
          <a:xfrm>
            <a:off x="3144523" y="1723932"/>
            <a:ext cx="5076198" cy="385295"/>
          </a:xfrm>
          <a:prstGeom prst="round2SameRect">
            <a:avLst/>
          </a:prstGeom>
          <a:solidFill>
            <a:srgbClr val="9BC848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 fontAlgn="t"/>
            <a:r>
              <a:rPr lang="pt-BR" sz="1500" b="0" i="0">
                <a:solidFill>
                  <a:schemeClr val="lt1"/>
                </a:solidFill>
                <a:effectLst/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rPr>
              <a:t>TOTAL DISCOUNTS BY SUBSCRIPTION TYPE</a:t>
            </a:r>
          </a:p>
          <a:p>
            <a:pPr algn="ctr"/>
            <a:endParaRPr lang="pt-BR" sz="1500">
              <a:latin typeface="Segoe UI Light" panose="020B0502040204020203" pitchFamily="34" charset="0"/>
              <a:cs typeface="Segoe UI Light" panose="020B0502040204020203" pitchFamily="34" charset="0"/>
            </a:endParaRPr>
          </a:p>
        </xdr:txBody>
      </xdr:sp>
    </xdr:grpSp>
    <xdr:clientData/>
  </xdr:twoCellAnchor>
  <xdr:twoCellAnchor>
    <xdr:from>
      <xdr:col>2</xdr:col>
      <xdr:colOff>600075</xdr:colOff>
      <xdr:row>3</xdr:row>
      <xdr:rowOff>85725</xdr:rowOff>
    </xdr:from>
    <xdr:to>
      <xdr:col>18</xdr:col>
      <xdr:colOff>247650</xdr:colOff>
      <xdr:row>3</xdr:row>
      <xdr:rowOff>85725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C8086301-2507-4D2E-9FF5-A6DE68D6E98C}"/>
            </a:ext>
          </a:extLst>
        </xdr:cNvPr>
        <xdr:cNvCxnSpPr/>
      </xdr:nvCxnSpPr>
      <xdr:spPr>
        <a:xfrm>
          <a:off x="3705225" y="828675"/>
          <a:ext cx="9429750" cy="0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200025</xdr:colOff>
      <xdr:row>19</xdr:row>
      <xdr:rowOff>152400</xdr:rowOff>
    </xdr:from>
    <xdr:to>
      <xdr:col>18</xdr:col>
      <xdr:colOff>414338</xdr:colOff>
      <xdr:row>35</xdr:row>
      <xdr:rowOff>38100</xdr:rowOff>
    </xdr:to>
    <xdr:grpSp>
      <xdr:nvGrpSpPr>
        <xdr:cNvPr id="23" name="Agrupar 22">
          <a:extLst>
            <a:ext uri="{FF2B5EF4-FFF2-40B4-BE49-F238E27FC236}">
              <a16:creationId xmlns:a16="http://schemas.microsoft.com/office/drawing/2014/main" id="{35AF62D9-7A0C-4B92-89C4-4A18B9C3EB55}"/>
            </a:ext>
          </a:extLst>
        </xdr:cNvPr>
        <xdr:cNvGrpSpPr/>
      </xdr:nvGrpSpPr>
      <xdr:grpSpPr>
        <a:xfrm>
          <a:off x="3305175" y="3962400"/>
          <a:ext cx="9996488" cy="2933700"/>
          <a:chOff x="3124200" y="2324100"/>
          <a:chExt cx="9796463" cy="4086225"/>
        </a:xfrm>
      </xdr:grpSpPr>
      <xdr:sp macro="" textlink="">
        <xdr:nvSpPr>
          <xdr:cNvPr id="24" name="Retângulo: Cantos Arredondados 23">
            <a:extLst>
              <a:ext uri="{FF2B5EF4-FFF2-40B4-BE49-F238E27FC236}">
                <a16:creationId xmlns:a16="http://schemas.microsoft.com/office/drawing/2014/main" id="{04D153E0-FC8B-1AEA-DB10-684767FC5A08}"/>
              </a:ext>
            </a:extLst>
          </xdr:cNvPr>
          <xdr:cNvSpPr/>
        </xdr:nvSpPr>
        <xdr:spPr>
          <a:xfrm>
            <a:off x="3124200" y="2324100"/>
            <a:ext cx="9582150" cy="4086225"/>
          </a:xfrm>
          <a:prstGeom prst="roundRect">
            <a:avLst>
              <a:gd name="adj" fmla="val 0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25" name="Gráfico 24">
            <a:extLst>
              <a:ext uri="{FF2B5EF4-FFF2-40B4-BE49-F238E27FC236}">
                <a16:creationId xmlns:a16="http://schemas.microsoft.com/office/drawing/2014/main" id="{07E310C8-D976-2A2A-C425-0F5A3ABBCEE7}"/>
              </a:ext>
            </a:extLst>
          </xdr:cNvPr>
          <xdr:cNvGraphicFramePr>
            <a:graphicFrameLocks/>
          </xdr:cNvGraphicFramePr>
        </xdr:nvGraphicFramePr>
        <xdr:xfrm>
          <a:off x="3544249" y="2531269"/>
          <a:ext cx="9376414" cy="35361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2</xdr:col>
      <xdr:colOff>180975</xdr:colOff>
      <xdr:row>19</xdr:row>
      <xdr:rowOff>95250</xdr:rowOff>
    </xdr:from>
    <xdr:to>
      <xdr:col>18</xdr:col>
      <xdr:colOff>228600</xdr:colOff>
      <xdr:row>21</xdr:row>
      <xdr:rowOff>104775</xdr:rowOff>
    </xdr:to>
    <xdr:sp macro="" textlink="">
      <xdr:nvSpPr>
        <xdr:cNvPr id="26" name="Retângulo: Cantos Superiores Arredondados 25">
          <a:extLst>
            <a:ext uri="{FF2B5EF4-FFF2-40B4-BE49-F238E27FC236}">
              <a16:creationId xmlns:a16="http://schemas.microsoft.com/office/drawing/2014/main" id="{16927EE6-6BE0-E32D-ECC2-25340D30C967}"/>
            </a:ext>
          </a:extLst>
        </xdr:cNvPr>
        <xdr:cNvSpPr/>
      </xdr:nvSpPr>
      <xdr:spPr>
        <a:xfrm>
          <a:off x="3286125" y="3905250"/>
          <a:ext cx="9829800" cy="390525"/>
        </a:xfrm>
        <a:prstGeom prst="round2SameRect">
          <a:avLst/>
        </a:prstGeom>
        <a:solidFill>
          <a:srgbClr val="9BC84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fontAlgn="t"/>
          <a:r>
            <a:rPr lang="pt-BR" sz="1500" b="0" i="0">
              <a:solidFill>
                <a:schemeClr val="lt1"/>
              </a:solidFill>
              <a:effectLst/>
              <a:latin typeface="Segoe UI Light" panose="020B0502040204020203" pitchFamily="34" charset="0"/>
              <a:ea typeface="+mn-ea"/>
              <a:cs typeface="Segoe UI Light" panose="020B0502040204020203" pitchFamily="34" charset="0"/>
            </a:rPr>
            <a:t>Total</a:t>
          </a:r>
          <a:r>
            <a:rPr lang="pt-BR" sz="1500" b="0" i="0" baseline="0">
              <a:solidFill>
                <a:schemeClr val="lt1"/>
              </a:solidFill>
              <a:effectLst/>
              <a:latin typeface="Segoe UI Light" panose="020B0502040204020203" pitchFamily="34" charset="0"/>
              <a:ea typeface="+mn-ea"/>
              <a:cs typeface="Segoe UI Light" panose="020B0502040204020203" pitchFamily="34" charset="0"/>
            </a:rPr>
            <a:t> </a:t>
          </a:r>
          <a:r>
            <a:rPr lang="pt-BR" sz="1500" b="0" i="0">
              <a:solidFill>
                <a:schemeClr val="lt1"/>
              </a:solidFill>
              <a:effectLst/>
              <a:latin typeface="Segoe UI Light" panose="020B0502040204020203" pitchFamily="34" charset="0"/>
              <a:ea typeface="+mn-ea"/>
              <a:cs typeface="Segoe UI Light" panose="020B0502040204020203" pitchFamily="34" charset="0"/>
            </a:rPr>
            <a:t>Subscriptions by Plan Type</a:t>
          </a:r>
        </a:p>
      </xdr:txBody>
    </xdr:sp>
    <xdr:clientData/>
  </xdr:twoCellAnchor>
  <xdr:twoCellAnchor>
    <xdr:from>
      <xdr:col>2</xdr:col>
      <xdr:colOff>171450</xdr:colOff>
      <xdr:row>36</xdr:row>
      <xdr:rowOff>142875</xdr:rowOff>
    </xdr:from>
    <xdr:to>
      <xdr:col>5</xdr:col>
      <xdr:colOff>438150</xdr:colOff>
      <xdr:row>39</xdr:row>
      <xdr:rowOff>171450</xdr:rowOff>
    </xdr:to>
    <xdr:sp macro="" textlink="">
      <xdr:nvSpPr>
        <xdr:cNvPr id="8" name="Retângulo: Cantos Arredondado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FA50632-E6DE-49F0-8AED-AD6AFD8F783C}"/>
            </a:ext>
          </a:extLst>
        </xdr:cNvPr>
        <xdr:cNvSpPr/>
      </xdr:nvSpPr>
      <xdr:spPr>
        <a:xfrm>
          <a:off x="3276600" y="7191375"/>
          <a:ext cx="2295525" cy="600075"/>
        </a:xfrm>
        <a:prstGeom prst="roundRect">
          <a:avLst/>
        </a:prstGeom>
        <a:solidFill>
          <a:srgbClr val="9BC84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BACK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hur Lobo" refreshedDate="46261.542602777779" createdVersion="8" refreshedVersion="8" minRefreshableVersion="3" recordCount="295" xr:uid="{582DA3F4-000D-47AA-A7F0-9FAC02A68F38}">
  <cacheSource type="worksheet">
    <worksheetSource name="Tabela1"/>
  </cacheSource>
  <cacheFields count="15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 count="294">
        <d v="2024-01-01T00:00:00"/>
        <d v="2024-01-15T00:00:00"/>
        <d v="2024-02-10T00:00:00"/>
        <d v="2024-02-20T00:00:00"/>
        <d v="2024-03-05T00:00:00"/>
        <d v="2024-03-02T00:00:00"/>
        <d v="2024-03-03T00:00:00"/>
        <d v="2024-03-04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</sharedItems>
      <fieldGroup par="14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 count="2">
        <s v="Yes"/>
        <s v="No"/>
      </sharedItems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  <cacheField name="Dias (Start Date)" numFmtId="0" databaseField="0">
      <fieldGroup base="3">
        <rangePr groupBy="days" startDate="2024-01-01T00:00:00" endDate="2024-12-17T00:00:00"/>
        <groupItems count="368">
          <s v="&lt;01/01/2024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2/2024"/>
        </groupItems>
      </fieldGroup>
    </cacheField>
    <cacheField name="Meses (Start Date)" numFmtId="0" databaseField="0">
      <fieldGroup base="3">
        <rangePr groupBy="months" startDate="2024-01-01T00:00:00" endDate="2024-12-17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2/2024"/>
        </groupItems>
      </fieldGroup>
    </cacheField>
  </cacheFields>
  <extLst>
    <ext xmlns:x14="http://schemas.microsoft.com/office/spreadsheetml/2009/9/main" uri="{725AE2AE-9491-48be-B2B4-4EB974FC3084}">
      <x14:pivotCacheDefinition pivotCacheId="32833138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x v="0"/>
    <x v="0"/>
    <n v="15"/>
    <x v="0"/>
    <x v="0"/>
    <x v="0"/>
    <s v="Yes"/>
    <n v="20"/>
    <n v="5"/>
    <n v="60"/>
  </r>
  <r>
    <n v="3232"/>
    <x v="1"/>
    <x v="1"/>
    <x v="1"/>
    <x v="1"/>
    <n v="5"/>
    <x v="1"/>
    <x v="1"/>
    <x v="1"/>
    <s v="No"/>
    <n v="0"/>
    <n v="0"/>
    <n v="5"/>
  </r>
  <r>
    <n v="3233"/>
    <x v="2"/>
    <x v="2"/>
    <x v="2"/>
    <x v="0"/>
    <n v="10"/>
    <x v="2"/>
    <x v="1"/>
    <x v="1"/>
    <s v="Yes"/>
    <n v="20"/>
    <n v="10"/>
    <n v="20"/>
  </r>
  <r>
    <n v="3234"/>
    <x v="3"/>
    <x v="0"/>
    <x v="3"/>
    <x v="1"/>
    <n v="15"/>
    <x v="0"/>
    <x v="0"/>
    <x v="0"/>
    <s v="Yes"/>
    <n v="20"/>
    <n v="3"/>
    <n v="62"/>
  </r>
  <r>
    <n v="3235"/>
    <x v="4"/>
    <x v="1"/>
    <x v="4"/>
    <x v="0"/>
    <n v="5"/>
    <x v="0"/>
    <x v="1"/>
    <x v="1"/>
    <s v="No"/>
    <n v="0"/>
    <n v="1"/>
    <n v="4"/>
  </r>
  <r>
    <n v="3236"/>
    <x v="5"/>
    <x v="2"/>
    <x v="5"/>
    <x v="1"/>
    <n v="10"/>
    <x v="0"/>
    <x v="1"/>
    <x v="1"/>
    <s v="Yes"/>
    <n v="20"/>
    <n v="2"/>
    <n v="28"/>
  </r>
  <r>
    <n v="3237"/>
    <x v="6"/>
    <x v="0"/>
    <x v="6"/>
    <x v="0"/>
    <n v="15"/>
    <x v="2"/>
    <x v="0"/>
    <x v="0"/>
    <s v="Yes"/>
    <n v="20"/>
    <n v="10"/>
    <n v="55"/>
  </r>
  <r>
    <n v="3238"/>
    <x v="7"/>
    <x v="1"/>
    <x v="7"/>
    <x v="0"/>
    <n v="5"/>
    <x v="1"/>
    <x v="1"/>
    <x v="1"/>
    <s v="No"/>
    <n v="0"/>
    <n v="0"/>
    <n v="5"/>
  </r>
  <r>
    <n v="3239"/>
    <x v="8"/>
    <x v="0"/>
    <x v="4"/>
    <x v="1"/>
    <n v="15"/>
    <x v="0"/>
    <x v="0"/>
    <x v="0"/>
    <s v="Yes"/>
    <n v="20"/>
    <n v="5"/>
    <n v="60"/>
  </r>
  <r>
    <n v="3240"/>
    <x v="9"/>
    <x v="2"/>
    <x v="8"/>
    <x v="0"/>
    <n v="10"/>
    <x v="2"/>
    <x v="1"/>
    <x v="1"/>
    <s v="Yes"/>
    <n v="20"/>
    <n v="15"/>
    <n v="15"/>
  </r>
  <r>
    <n v="3241"/>
    <x v="10"/>
    <x v="1"/>
    <x v="9"/>
    <x v="1"/>
    <n v="5"/>
    <x v="0"/>
    <x v="1"/>
    <x v="1"/>
    <s v="No"/>
    <n v="0"/>
    <n v="1"/>
    <n v="4"/>
  </r>
  <r>
    <n v="3242"/>
    <x v="11"/>
    <x v="0"/>
    <x v="10"/>
    <x v="0"/>
    <n v="15"/>
    <x v="1"/>
    <x v="0"/>
    <x v="0"/>
    <s v="Yes"/>
    <n v="20"/>
    <n v="20"/>
    <n v="45"/>
  </r>
  <r>
    <n v="3243"/>
    <x v="12"/>
    <x v="2"/>
    <x v="11"/>
    <x v="1"/>
    <n v="10"/>
    <x v="0"/>
    <x v="1"/>
    <x v="1"/>
    <s v="Yes"/>
    <n v="20"/>
    <n v="10"/>
    <n v="20"/>
  </r>
  <r>
    <n v="3244"/>
    <x v="13"/>
    <x v="1"/>
    <x v="12"/>
    <x v="0"/>
    <n v="5"/>
    <x v="2"/>
    <x v="1"/>
    <x v="1"/>
    <s v="No"/>
    <n v="0"/>
    <n v="0"/>
    <n v="5"/>
  </r>
  <r>
    <n v="3245"/>
    <x v="14"/>
    <x v="0"/>
    <x v="13"/>
    <x v="1"/>
    <n v="15"/>
    <x v="0"/>
    <x v="0"/>
    <x v="0"/>
    <s v="Yes"/>
    <n v="20"/>
    <n v="8"/>
    <n v="57"/>
  </r>
  <r>
    <n v="3246"/>
    <x v="15"/>
    <x v="2"/>
    <x v="14"/>
    <x v="0"/>
    <n v="10"/>
    <x v="1"/>
    <x v="1"/>
    <x v="1"/>
    <s v="Yes"/>
    <n v="20"/>
    <n v="12"/>
    <n v="18"/>
  </r>
  <r>
    <n v="3247"/>
    <x v="16"/>
    <x v="1"/>
    <x v="15"/>
    <x v="1"/>
    <n v="5"/>
    <x v="0"/>
    <x v="1"/>
    <x v="1"/>
    <s v="No"/>
    <n v="0"/>
    <n v="2"/>
    <n v="3"/>
  </r>
  <r>
    <n v="3248"/>
    <x v="17"/>
    <x v="0"/>
    <x v="16"/>
    <x v="0"/>
    <n v="15"/>
    <x v="2"/>
    <x v="0"/>
    <x v="0"/>
    <s v="Yes"/>
    <n v="20"/>
    <n v="7"/>
    <n v="58"/>
  </r>
  <r>
    <n v="3249"/>
    <x v="18"/>
    <x v="2"/>
    <x v="17"/>
    <x v="1"/>
    <n v="10"/>
    <x v="0"/>
    <x v="1"/>
    <x v="1"/>
    <s v="Yes"/>
    <n v="20"/>
    <n v="5"/>
    <n v="25"/>
  </r>
  <r>
    <n v="3250"/>
    <x v="19"/>
    <x v="1"/>
    <x v="18"/>
    <x v="0"/>
    <n v="5"/>
    <x v="1"/>
    <x v="1"/>
    <x v="1"/>
    <s v="No"/>
    <n v="0"/>
    <n v="0"/>
    <n v="5"/>
  </r>
  <r>
    <n v="3251"/>
    <x v="20"/>
    <x v="0"/>
    <x v="19"/>
    <x v="1"/>
    <n v="15"/>
    <x v="0"/>
    <x v="0"/>
    <x v="0"/>
    <s v="Yes"/>
    <n v="20"/>
    <n v="3"/>
    <n v="62"/>
  </r>
  <r>
    <n v="3252"/>
    <x v="21"/>
    <x v="2"/>
    <x v="20"/>
    <x v="0"/>
    <n v="10"/>
    <x v="2"/>
    <x v="1"/>
    <x v="1"/>
    <s v="Yes"/>
    <n v="20"/>
    <n v="15"/>
    <n v="15"/>
  </r>
  <r>
    <n v="3253"/>
    <x v="22"/>
    <x v="1"/>
    <x v="21"/>
    <x v="1"/>
    <n v="5"/>
    <x v="0"/>
    <x v="1"/>
    <x v="1"/>
    <s v="No"/>
    <n v="0"/>
    <n v="1"/>
    <n v="4"/>
  </r>
  <r>
    <n v="3254"/>
    <x v="23"/>
    <x v="0"/>
    <x v="22"/>
    <x v="0"/>
    <n v="15"/>
    <x v="1"/>
    <x v="0"/>
    <x v="0"/>
    <s v="Yes"/>
    <n v="20"/>
    <n v="20"/>
    <n v="45"/>
  </r>
  <r>
    <n v="3255"/>
    <x v="24"/>
    <x v="2"/>
    <x v="23"/>
    <x v="1"/>
    <n v="10"/>
    <x v="0"/>
    <x v="1"/>
    <x v="1"/>
    <s v="Yes"/>
    <n v="20"/>
    <n v="10"/>
    <n v="20"/>
  </r>
  <r>
    <n v="3256"/>
    <x v="25"/>
    <x v="1"/>
    <x v="24"/>
    <x v="0"/>
    <n v="5"/>
    <x v="2"/>
    <x v="1"/>
    <x v="1"/>
    <s v="No"/>
    <n v="0"/>
    <n v="0"/>
    <n v="5"/>
  </r>
  <r>
    <n v="3257"/>
    <x v="26"/>
    <x v="0"/>
    <x v="25"/>
    <x v="1"/>
    <n v="15"/>
    <x v="0"/>
    <x v="0"/>
    <x v="0"/>
    <s v="Yes"/>
    <n v="20"/>
    <n v="5"/>
    <n v="60"/>
  </r>
  <r>
    <n v="3258"/>
    <x v="27"/>
    <x v="2"/>
    <x v="26"/>
    <x v="0"/>
    <n v="10"/>
    <x v="1"/>
    <x v="1"/>
    <x v="1"/>
    <s v="Yes"/>
    <n v="20"/>
    <n v="15"/>
    <n v="15"/>
  </r>
  <r>
    <n v="3259"/>
    <x v="28"/>
    <x v="1"/>
    <x v="27"/>
    <x v="1"/>
    <n v="5"/>
    <x v="0"/>
    <x v="1"/>
    <x v="1"/>
    <s v="No"/>
    <n v="0"/>
    <n v="1"/>
    <n v="4"/>
  </r>
  <r>
    <n v="3260"/>
    <x v="29"/>
    <x v="0"/>
    <x v="28"/>
    <x v="0"/>
    <n v="15"/>
    <x v="2"/>
    <x v="0"/>
    <x v="0"/>
    <s v="Yes"/>
    <n v="20"/>
    <n v="7"/>
    <n v="58"/>
  </r>
  <r>
    <n v="3261"/>
    <x v="30"/>
    <x v="2"/>
    <x v="29"/>
    <x v="1"/>
    <n v="10"/>
    <x v="0"/>
    <x v="1"/>
    <x v="1"/>
    <s v="Yes"/>
    <n v="20"/>
    <n v="10"/>
    <n v="20"/>
  </r>
  <r>
    <n v="3262"/>
    <x v="31"/>
    <x v="1"/>
    <x v="30"/>
    <x v="0"/>
    <n v="5"/>
    <x v="1"/>
    <x v="1"/>
    <x v="1"/>
    <s v="No"/>
    <n v="0"/>
    <n v="0"/>
    <n v="5"/>
  </r>
  <r>
    <n v="3263"/>
    <x v="32"/>
    <x v="0"/>
    <x v="31"/>
    <x v="1"/>
    <n v="15"/>
    <x v="0"/>
    <x v="0"/>
    <x v="0"/>
    <s v="Yes"/>
    <n v="20"/>
    <n v="3"/>
    <n v="62"/>
  </r>
  <r>
    <n v="3264"/>
    <x v="33"/>
    <x v="2"/>
    <x v="32"/>
    <x v="0"/>
    <n v="10"/>
    <x v="2"/>
    <x v="1"/>
    <x v="1"/>
    <s v="Yes"/>
    <n v="20"/>
    <n v="15"/>
    <n v="15"/>
  </r>
  <r>
    <n v="3265"/>
    <x v="34"/>
    <x v="1"/>
    <x v="33"/>
    <x v="1"/>
    <n v="5"/>
    <x v="0"/>
    <x v="1"/>
    <x v="1"/>
    <s v="No"/>
    <n v="0"/>
    <n v="1"/>
    <n v="4"/>
  </r>
  <r>
    <n v="3266"/>
    <x v="35"/>
    <x v="1"/>
    <x v="34"/>
    <x v="0"/>
    <n v="5"/>
    <x v="0"/>
    <x v="1"/>
    <x v="1"/>
    <s v="No"/>
    <n v="0"/>
    <n v="0"/>
    <n v="5"/>
  </r>
  <r>
    <n v="3267"/>
    <x v="36"/>
    <x v="0"/>
    <x v="35"/>
    <x v="1"/>
    <n v="15"/>
    <x v="2"/>
    <x v="0"/>
    <x v="0"/>
    <s v="Yes"/>
    <n v="20"/>
    <n v="7"/>
    <n v="58"/>
  </r>
  <r>
    <n v="3268"/>
    <x v="37"/>
    <x v="2"/>
    <x v="36"/>
    <x v="0"/>
    <n v="10"/>
    <x v="1"/>
    <x v="1"/>
    <x v="1"/>
    <s v="Yes"/>
    <n v="20"/>
    <n v="10"/>
    <n v="20"/>
  </r>
  <r>
    <n v="3269"/>
    <x v="38"/>
    <x v="1"/>
    <x v="37"/>
    <x v="1"/>
    <n v="5"/>
    <x v="2"/>
    <x v="1"/>
    <x v="1"/>
    <s v="No"/>
    <n v="0"/>
    <n v="1"/>
    <n v="4"/>
  </r>
  <r>
    <n v="3270"/>
    <x v="39"/>
    <x v="0"/>
    <x v="38"/>
    <x v="0"/>
    <n v="15"/>
    <x v="0"/>
    <x v="0"/>
    <x v="0"/>
    <s v="Yes"/>
    <n v="20"/>
    <n v="15"/>
    <n v="50"/>
  </r>
  <r>
    <n v="3271"/>
    <x v="40"/>
    <x v="2"/>
    <x v="39"/>
    <x v="1"/>
    <n v="10"/>
    <x v="0"/>
    <x v="1"/>
    <x v="1"/>
    <s v="Yes"/>
    <n v="20"/>
    <n v="5"/>
    <n v="25"/>
  </r>
  <r>
    <n v="3272"/>
    <x v="41"/>
    <x v="1"/>
    <x v="40"/>
    <x v="0"/>
    <n v="5"/>
    <x v="1"/>
    <x v="1"/>
    <x v="1"/>
    <s v="No"/>
    <n v="0"/>
    <n v="0"/>
    <n v="5"/>
  </r>
  <r>
    <n v="3273"/>
    <x v="42"/>
    <x v="0"/>
    <x v="41"/>
    <x v="1"/>
    <n v="15"/>
    <x v="2"/>
    <x v="0"/>
    <x v="0"/>
    <s v="Yes"/>
    <n v="20"/>
    <n v="20"/>
    <n v="45"/>
  </r>
  <r>
    <n v="3274"/>
    <x v="43"/>
    <x v="2"/>
    <x v="42"/>
    <x v="0"/>
    <n v="10"/>
    <x v="2"/>
    <x v="1"/>
    <x v="1"/>
    <s v="Yes"/>
    <n v="20"/>
    <n v="12"/>
    <n v="18"/>
  </r>
  <r>
    <n v="3275"/>
    <x v="44"/>
    <x v="1"/>
    <x v="43"/>
    <x v="1"/>
    <n v="5"/>
    <x v="0"/>
    <x v="1"/>
    <x v="1"/>
    <s v="No"/>
    <n v="0"/>
    <n v="2"/>
    <n v="3"/>
  </r>
  <r>
    <n v="3276"/>
    <x v="45"/>
    <x v="0"/>
    <x v="44"/>
    <x v="0"/>
    <n v="15"/>
    <x v="1"/>
    <x v="0"/>
    <x v="0"/>
    <s v="Yes"/>
    <n v="20"/>
    <n v="5"/>
    <n v="60"/>
  </r>
  <r>
    <n v="3277"/>
    <x v="46"/>
    <x v="2"/>
    <x v="45"/>
    <x v="1"/>
    <n v="10"/>
    <x v="0"/>
    <x v="1"/>
    <x v="1"/>
    <s v="Yes"/>
    <n v="20"/>
    <n v="10"/>
    <n v="20"/>
  </r>
  <r>
    <n v="3278"/>
    <x v="47"/>
    <x v="1"/>
    <x v="46"/>
    <x v="0"/>
    <n v="5"/>
    <x v="2"/>
    <x v="1"/>
    <x v="1"/>
    <s v="No"/>
    <n v="0"/>
    <n v="0"/>
    <n v="5"/>
  </r>
  <r>
    <n v="3279"/>
    <x v="48"/>
    <x v="0"/>
    <x v="47"/>
    <x v="1"/>
    <n v="15"/>
    <x v="0"/>
    <x v="0"/>
    <x v="0"/>
    <s v="Yes"/>
    <n v="20"/>
    <n v="3"/>
    <n v="62"/>
  </r>
  <r>
    <n v="3280"/>
    <x v="49"/>
    <x v="2"/>
    <x v="48"/>
    <x v="0"/>
    <n v="10"/>
    <x v="1"/>
    <x v="1"/>
    <x v="1"/>
    <s v="Yes"/>
    <n v="20"/>
    <n v="15"/>
    <n v="15"/>
  </r>
  <r>
    <n v="3281"/>
    <x v="50"/>
    <x v="1"/>
    <x v="49"/>
    <x v="1"/>
    <n v="5"/>
    <x v="0"/>
    <x v="1"/>
    <x v="1"/>
    <s v="No"/>
    <n v="0"/>
    <n v="1"/>
    <n v="4"/>
  </r>
  <r>
    <n v="3282"/>
    <x v="51"/>
    <x v="0"/>
    <x v="50"/>
    <x v="0"/>
    <n v="15"/>
    <x v="2"/>
    <x v="0"/>
    <x v="0"/>
    <s v="Yes"/>
    <n v="20"/>
    <n v="7"/>
    <n v="58"/>
  </r>
  <r>
    <n v="3283"/>
    <x v="52"/>
    <x v="2"/>
    <x v="51"/>
    <x v="1"/>
    <n v="10"/>
    <x v="0"/>
    <x v="1"/>
    <x v="1"/>
    <s v="Yes"/>
    <n v="20"/>
    <n v="10"/>
    <n v="20"/>
  </r>
  <r>
    <n v="3284"/>
    <x v="53"/>
    <x v="1"/>
    <x v="52"/>
    <x v="0"/>
    <n v="5"/>
    <x v="1"/>
    <x v="1"/>
    <x v="1"/>
    <s v="No"/>
    <n v="0"/>
    <n v="0"/>
    <n v="5"/>
  </r>
  <r>
    <n v="3285"/>
    <x v="54"/>
    <x v="0"/>
    <x v="53"/>
    <x v="1"/>
    <n v="15"/>
    <x v="0"/>
    <x v="0"/>
    <x v="0"/>
    <s v="Yes"/>
    <n v="20"/>
    <n v="20"/>
    <n v="45"/>
  </r>
  <r>
    <n v="3286"/>
    <x v="55"/>
    <x v="2"/>
    <x v="54"/>
    <x v="0"/>
    <n v="10"/>
    <x v="2"/>
    <x v="1"/>
    <x v="1"/>
    <s v="Yes"/>
    <n v="20"/>
    <n v="15"/>
    <n v="15"/>
  </r>
  <r>
    <n v="3287"/>
    <x v="56"/>
    <x v="1"/>
    <x v="55"/>
    <x v="1"/>
    <n v="5"/>
    <x v="0"/>
    <x v="1"/>
    <x v="1"/>
    <s v="No"/>
    <n v="0"/>
    <n v="1"/>
    <n v="4"/>
  </r>
  <r>
    <n v="3288"/>
    <x v="57"/>
    <x v="0"/>
    <x v="56"/>
    <x v="0"/>
    <n v="15"/>
    <x v="1"/>
    <x v="0"/>
    <x v="0"/>
    <s v="Yes"/>
    <n v="20"/>
    <n v="3"/>
    <n v="62"/>
  </r>
  <r>
    <n v="3289"/>
    <x v="58"/>
    <x v="2"/>
    <x v="57"/>
    <x v="1"/>
    <n v="10"/>
    <x v="0"/>
    <x v="1"/>
    <x v="1"/>
    <s v="Yes"/>
    <n v="20"/>
    <n v="10"/>
    <n v="20"/>
  </r>
  <r>
    <n v="3290"/>
    <x v="59"/>
    <x v="1"/>
    <x v="58"/>
    <x v="0"/>
    <n v="5"/>
    <x v="2"/>
    <x v="1"/>
    <x v="1"/>
    <s v="No"/>
    <n v="0"/>
    <n v="0"/>
    <n v="5"/>
  </r>
  <r>
    <n v="3291"/>
    <x v="60"/>
    <x v="0"/>
    <x v="59"/>
    <x v="1"/>
    <n v="15"/>
    <x v="0"/>
    <x v="0"/>
    <x v="0"/>
    <s v="Yes"/>
    <n v="20"/>
    <n v="5"/>
    <n v="60"/>
  </r>
  <r>
    <n v="3292"/>
    <x v="61"/>
    <x v="2"/>
    <x v="60"/>
    <x v="0"/>
    <n v="10"/>
    <x v="1"/>
    <x v="1"/>
    <x v="1"/>
    <s v="Yes"/>
    <n v="20"/>
    <n v="15"/>
    <n v="15"/>
  </r>
  <r>
    <n v="3293"/>
    <x v="62"/>
    <x v="1"/>
    <x v="61"/>
    <x v="1"/>
    <n v="5"/>
    <x v="0"/>
    <x v="1"/>
    <x v="1"/>
    <s v="No"/>
    <n v="0"/>
    <n v="1"/>
    <n v="4"/>
  </r>
  <r>
    <n v="3294"/>
    <x v="63"/>
    <x v="0"/>
    <x v="62"/>
    <x v="0"/>
    <n v="15"/>
    <x v="2"/>
    <x v="0"/>
    <x v="0"/>
    <s v="Yes"/>
    <n v="20"/>
    <n v="20"/>
    <n v="45"/>
  </r>
  <r>
    <n v="3295"/>
    <x v="64"/>
    <x v="2"/>
    <x v="63"/>
    <x v="1"/>
    <n v="10"/>
    <x v="0"/>
    <x v="1"/>
    <x v="1"/>
    <s v="Yes"/>
    <n v="20"/>
    <n v="5"/>
    <n v="25"/>
  </r>
  <r>
    <n v="3296"/>
    <x v="65"/>
    <x v="1"/>
    <x v="64"/>
    <x v="1"/>
    <n v="5"/>
    <x v="0"/>
    <x v="1"/>
    <x v="1"/>
    <s v="No"/>
    <n v="0"/>
    <n v="0"/>
    <n v="5"/>
  </r>
  <r>
    <n v="3297"/>
    <x v="66"/>
    <x v="0"/>
    <x v="65"/>
    <x v="0"/>
    <n v="15"/>
    <x v="2"/>
    <x v="0"/>
    <x v="0"/>
    <s v="Yes"/>
    <n v="20"/>
    <n v="7"/>
    <n v="58"/>
  </r>
  <r>
    <n v="3298"/>
    <x v="67"/>
    <x v="2"/>
    <x v="66"/>
    <x v="1"/>
    <n v="10"/>
    <x v="1"/>
    <x v="1"/>
    <x v="1"/>
    <s v="Yes"/>
    <n v="20"/>
    <n v="10"/>
    <n v="20"/>
  </r>
  <r>
    <n v="3299"/>
    <x v="68"/>
    <x v="1"/>
    <x v="67"/>
    <x v="0"/>
    <n v="5"/>
    <x v="2"/>
    <x v="1"/>
    <x v="1"/>
    <s v="No"/>
    <n v="0"/>
    <n v="1"/>
    <n v="4"/>
  </r>
  <r>
    <n v="3300"/>
    <x v="69"/>
    <x v="0"/>
    <x v="68"/>
    <x v="1"/>
    <n v="15"/>
    <x v="0"/>
    <x v="0"/>
    <x v="0"/>
    <s v="Yes"/>
    <n v="20"/>
    <n v="15"/>
    <n v="50"/>
  </r>
  <r>
    <n v="3301"/>
    <x v="70"/>
    <x v="2"/>
    <x v="69"/>
    <x v="0"/>
    <n v="10"/>
    <x v="0"/>
    <x v="1"/>
    <x v="1"/>
    <s v="Yes"/>
    <n v="20"/>
    <n v="5"/>
    <n v="25"/>
  </r>
  <r>
    <n v="3302"/>
    <x v="71"/>
    <x v="1"/>
    <x v="70"/>
    <x v="1"/>
    <n v="5"/>
    <x v="1"/>
    <x v="1"/>
    <x v="1"/>
    <s v="No"/>
    <n v="0"/>
    <n v="0"/>
    <n v="5"/>
  </r>
  <r>
    <n v="3303"/>
    <x v="72"/>
    <x v="0"/>
    <x v="71"/>
    <x v="0"/>
    <n v="15"/>
    <x v="2"/>
    <x v="0"/>
    <x v="0"/>
    <s v="Yes"/>
    <n v="20"/>
    <n v="20"/>
    <n v="45"/>
  </r>
  <r>
    <n v="3304"/>
    <x v="73"/>
    <x v="2"/>
    <x v="72"/>
    <x v="1"/>
    <n v="10"/>
    <x v="2"/>
    <x v="1"/>
    <x v="1"/>
    <s v="Yes"/>
    <n v="20"/>
    <n v="12"/>
    <n v="18"/>
  </r>
  <r>
    <n v="3305"/>
    <x v="74"/>
    <x v="1"/>
    <x v="73"/>
    <x v="0"/>
    <n v="5"/>
    <x v="0"/>
    <x v="1"/>
    <x v="1"/>
    <s v="No"/>
    <n v="0"/>
    <n v="2"/>
    <n v="3"/>
  </r>
  <r>
    <n v="3306"/>
    <x v="75"/>
    <x v="0"/>
    <x v="74"/>
    <x v="1"/>
    <n v="15"/>
    <x v="1"/>
    <x v="0"/>
    <x v="0"/>
    <s v="Yes"/>
    <n v="20"/>
    <n v="5"/>
    <n v="60"/>
  </r>
  <r>
    <n v="3307"/>
    <x v="76"/>
    <x v="2"/>
    <x v="75"/>
    <x v="0"/>
    <n v="10"/>
    <x v="0"/>
    <x v="1"/>
    <x v="1"/>
    <s v="Yes"/>
    <n v="20"/>
    <n v="10"/>
    <n v="20"/>
  </r>
  <r>
    <n v="3308"/>
    <x v="77"/>
    <x v="1"/>
    <x v="76"/>
    <x v="1"/>
    <n v="5"/>
    <x v="2"/>
    <x v="1"/>
    <x v="1"/>
    <s v="No"/>
    <n v="0"/>
    <n v="0"/>
    <n v="5"/>
  </r>
  <r>
    <n v="3309"/>
    <x v="78"/>
    <x v="0"/>
    <x v="77"/>
    <x v="0"/>
    <n v="15"/>
    <x v="0"/>
    <x v="0"/>
    <x v="0"/>
    <s v="Yes"/>
    <n v="20"/>
    <n v="3"/>
    <n v="62"/>
  </r>
  <r>
    <n v="3310"/>
    <x v="79"/>
    <x v="2"/>
    <x v="78"/>
    <x v="1"/>
    <n v="10"/>
    <x v="1"/>
    <x v="1"/>
    <x v="1"/>
    <s v="Yes"/>
    <n v="20"/>
    <n v="15"/>
    <n v="15"/>
  </r>
  <r>
    <n v="3311"/>
    <x v="80"/>
    <x v="1"/>
    <x v="79"/>
    <x v="0"/>
    <n v="5"/>
    <x v="0"/>
    <x v="1"/>
    <x v="1"/>
    <s v="No"/>
    <n v="0"/>
    <n v="1"/>
    <n v="4"/>
  </r>
  <r>
    <n v="3312"/>
    <x v="81"/>
    <x v="0"/>
    <x v="80"/>
    <x v="1"/>
    <n v="15"/>
    <x v="2"/>
    <x v="0"/>
    <x v="0"/>
    <s v="Yes"/>
    <n v="20"/>
    <n v="7"/>
    <n v="58"/>
  </r>
  <r>
    <n v="3313"/>
    <x v="82"/>
    <x v="2"/>
    <x v="81"/>
    <x v="0"/>
    <n v="10"/>
    <x v="0"/>
    <x v="1"/>
    <x v="1"/>
    <s v="Yes"/>
    <n v="20"/>
    <n v="10"/>
    <n v="20"/>
  </r>
  <r>
    <n v="3314"/>
    <x v="83"/>
    <x v="1"/>
    <x v="82"/>
    <x v="1"/>
    <n v="5"/>
    <x v="1"/>
    <x v="1"/>
    <x v="1"/>
    <s v="No"/>
    <n v="0"/>
    <n v="0"/>
    <n v="5"/>
  </r>
  <r>
    <n v="3315"/>
    <x v="84"/>
    <x v="0"/>
    <x v="83"/>
    <x v="0"/>
    <n v="15"/>
    <x v="0"/>
    <x v="0"/>
    <x v="0"/>
    <s v="Yes"/>
    <n v="20"/>
    <n v="20"/>
    <n v="45"/>
  </r>
  <r>
    <n v="3316"/>
    <x v="85"/>
    <x v="2"/>
    <x v="84"/>
    <x v="1"/>
    <n v="10"/>
    <x v="2"/>
    <x v="1"/>
    <x v="1"/>
    <s v="Yes"/>
    <n v="20"/>
    <n v="15"/>
    <n v="15"/>
  </r>
  <r>
    <n v="3317"/>
    <x v="86"/>
    <x v="1"/>
    <x v="85"/>
    <x v="0"/>
    <n v="5"/>
    <x v="0"/>
    <x v="1"/>
    <x v="1"/>
    <s v="No"/>
    <n v="0"/>
    <n v="1"/>
    <n v="4"/>
  </r>
  <r>
    <n v="3318"/>
    <x v="87"/>
    <x v="0"/>
    <x v="86"/>
    <x v="1"/>
    <n v="15"/>
    <x v="1"/>
    <x v="0"/>
    <x v="0"/>
    <s v="Yes"/>
    <n v="20"/>
    <n v="3"/>
    <n v="62"/>
  </r>
  <r>
    <n v="3319"/>
    <x v="88"/>
    <x v="2"/>
    <x v="87"/>
    <x v="0"/>
    <n v="10"/>
    <x v="0"/>
    <x v="1"/>
    <x v="1"/>
    <s v="Yes"/>
    <n v="20"/>
    <n v="10"/>
    <n v="20"/>
  </r>
  <r>
    <n v="3320"/>
    <x v="89"/>
    <x v="1"/>
    <x v="88"/>
    <x v="1"/>
    <n v="5"/>
    <x v="2"/>
    <x v="1"/>
    <x v="1"/>
    <s v="No"/>
    <n v="0"/>
    <n v="0"/>
    <n v="5"/>
  </r>
  <r>
    <n v="3321"/>
    <x v="90"/>
    <x v="0"/>
    <x v="89"/>
    <x v="0"/>
    <n v="15"/>
    <x v="0"/>
    <x v="0"/>
    <x v="0"/>
    <s v="Yes"/>
    <n v="20"/>
    <n v="5"/>
    <n v="60"/>
  </r>
  <r>
    <n v="3322"/>
    <x v="91"/>
    <x v="2"/>
    <x v="90"/>
    <x v="1"/>
    <n v="10"/>
    <x v="1"/>
    <x v="1"/>
    <x v="1"/>
    <s v="Yes"/>
    <n v="20"/>
    <n v="15"/>
    <n v="15"/>
  </r>
  <r>
    <n v="3323"/>
    <x v="92"/>
    <x v="1"/>
    <x v="91"/>
    <x v="0"/>
    <n v="5"/>
    <x v="0"/>
    <x v="1"/>
    <x v="1"/>
    <s v="No"/>
    <n v="0"/>
    <n v="1"/>
    <n v="4"/>
  </r>
  <r>
    <n v="3324"/>
    <x v="93"/>
    <x v="0"/>
    <x v="92"/>
    <x v="1"/>
    <n v="15"/>
    <x v="2"/>
    <x v="0"/>
    <x v="0"/>
    <s v="Yes"/>
    <n v="20"/>
    <n v="20"/>
    <n v="45"/>
  </r>
  <r>
    <n v="3325"/>
    <x v="94"/>
    <x v="2"/>
    <x v="93"/>
    <x v="0"/>
    <n v="10"/>
    <x v="2"/>
    <x v="1"/>
    <x v="1"/>
    <s v="Yes"/>
    <n v="20"/>
    <n v="15"/>
    <n v="15"/>
  </r>
  <r>
    <n v="3326"/>
    <x v="95"/>
    <x v="1"/>
    <x v="94"/>
    <x v="1"/>
    <n v="5"/>
    <x v="1"/>
    <x v="1"/>
    <x v="1"/>
    <s v="No"/>
    <n v="0"/>
    <n v="0"/>
    <n v="5"/>
  </r>
  <r>
    <n v="3327"/>
    <x v="96"/>
    <x v="0"/>
    <x v="95"/>
    <x v="0"/>
    <n v="15"/>
    <x v="0"/>
    <x v="0"/>
    <x v="0"/>
    <s v="Yes"/>
    <n v="20"/>
    <n v="7"/>
    <n v="58"/>
  </r>
  <r>
    <n v="3328"/>
    <x v="97"/>
    <x v="2"/>
    <x v="96"/>
    <x v="1"/>
    <n v="10"/>
    <x v="1"/>
    <x v="1"/>
    <x v="1"/>
    <s v="Yes"/>
    <n v="20"/>
    <n v="10"/>
    <n v="20"/>
  </r>
  <r>
    <n v="3329"/>
    <x v="98"/>
    <x v="1"/>
    <x v="97"/>
    <x v="0"/>
    <n v="5"/>
    <x v="2"/>
    <x v="1"/>
    <x v="1"/>
    <s v="No"/>
    <n v="0"/>
    <n v="1"/>
    <n v="4"/>
  </r>
  <r>
    <n v="3330"/>
    <x v="99"/>
    <x v="0"/>
    <x v="98"/>
    <x v="1"/>
    <n v="15"/>
    <x v="0"/>
    <x v="0"/>
    <x v="0"/>
    <s v="Yes"/>
    <n v="20"/>
    <n v="15"/>
    <n v="50"/>
  </r>
  <r>
    <n v="3331"/>
    <x v="100"/>
    <x v="2"/>
    <x v="99"/>
    <x v="0"/>
    <n v="10"/>
    <x v="0"/>
    <x v="1"/>
    <x v="1"/>
    <s v="Yes"/>
    <n v="20"/>
    <n v="5"/>
    <n v="25"/>
  </r>
  <r>
    <n v="3332"/>
    <x v="101"/>
    <x v="1"/>
    <x v="100"/>
    <x v="1"/>
    <n v="5"/>
    <x v="1"/>
    <x v="1"/>
    <x v="1"/>
    <s v="No"/>
    <n v="0"/>
    <n v="0"/>
    <n v="5"/>
  </r>
  <r>
    <n v="3333"/>
    <x v="102"/>
    <x v="0"/>
    <x v="101"/>
    <x v="0"/>
    <n v="15"/>
    <x v="2"/>
    <x v="0"/>
    <x v="0"/>
    <s v="Yes"/>
    <n v="20"/>
    <n v="20"/>
    <n v="45"/>
  </r>
  <r>
    <n v="3334"/>
    <x v="103"/>
    <x v="2"/>
    <x v="102"/>
    <x v="1"/>
    <n v="10"/>
    <x v="2"/>
    <x v="1"/>
    <x v="1"/>
    <s v="Yes"/>
    <n v="20"/>
    <n v="12"/>
    <n v="18"/>
  </r>
  <r>
    <n v="3335"/>
    <x v="104"/>
    <x v="1"/>
    <x v="103"/>
    <x v="0"/>
    <n v="5"/>
    <x v="0"/>
    <x v="1"/>
    <x v="1"/>
    <s v="No"/>
    <n v="0"/>
    <n v="2"/>
    <n v="3"/>
  </r>
  <r>
    <n v="3336"/>
    <x v="105"/>
    <x v="1"/>
    <x v="104"/>
    <x v="0"/>
    <n v="5"/>
    <x v="0"/>
    <x v="1"/>
    <x v="1"/>
    <s v="No"/>
    <n v="0"/>
    <n v="0"/>
    <n v="5"/>
  </r>
  <r>
    <n v="3337"/>
    <x v="106"/>
    <x v="0"/>
    <x v="105"/>
    <x v="1"/>
    <n v="15"/>
    <x v="2"/>
    <x v="0"/>
    <x v="0"/>
    <s v="Yes"/>
    <n v="20"/>
    <n v="7"/>
    <n v="58"/>
  </r>
  <r>
    <n v="3338"/>
    <x v="107"/>
    <x v="2"/>
    <x v="106"/>
    <x v="0"/>
    <n v="10"/>
    <x v="1"/>
    <x v="1"/>
    <x v="1"/>
    <s v="Yes"/>
    <n v="20"/>
    <n v="10"/>
    <n v="20"/>
  </r>
  <r>
    <n v="3339"/>
    <x v="108"/>
    <x v="1"/>
    <x v="107"/>
    <x v="1"/>
    <n v="5"/>
    <x v="2"/>
    <x v="1"/>
    <x v="1"/>
    <s v="No"/>
    <n v="0"/>
    <n v="1"/>
    <n v="4"/>
  </r>
  <r>
    <n v="3340"/>
    <x v="109"/>
    <x v="0"/>
    <x v="108"/>
    <x v="0"/>
    <n v="15"/>
    <x v="0"/>
    <x v="0"/>
    <x v="0"/>
    <s v="Yes"/>
    <n v="20"/>
    <n v="15"/>
    <n v="50"/>
  </r>
  <r>
    <n v="3341"/>
    <x v="110"/>
    <x v="2"/>
    <x v="109"/>
    <x v="1"/>
    <n v="10"/>
    <x v="0"/>
    <x v="1"/>
    <x v="1"/>
    <s v="Yes"/>
    <n v="20"/>
    <n v="5"/>
    <n v="25"/>
  </r>
  <r>
    <n v="3342"/>
    <x v="111"/>
    <x v="1"/>
    <x v="110"/>
    <x v="0"/>
    <n v="5"/>
    <x v="1"/>
    <x v="1"/>
    <x v="1"/>
    <s v="No"/>
    <n v="0"/>
    <n v="0"/>
    <n v="5"/>
  </r>
  <r>
    <n v="3343"/>
    <x v="112"/>
    <x v="0"/>
    <x v="111"/>
    <x v="1"/>
    <n v="15"/>
    <x v="2"/>
    <x v="0"/>
    <x v="0"/>
    <s v="Yes"/>
    <n v="20"/>
    <n v="20"/>
    <n v="45"/>
  </r>
  <r>
    <n v="3344"/>
    <x v="113"/>
    <x v="2"/>
    <x v="112"/>
    <x v="0"/>
    <n v="10"/>
    <x v="2"/>
    <x v="1"/>
    <x v="1"/>
    <s v="Yes"/>
    <n v="20"/>
    <n v="12"/>
    <n v="18"/>
  </r>
  <r>
    <n v="3345"/>
    <x v="114"/>
    <x v="1"/>
    <x v="113"/>
    <x v="1"/>
    <n v="5"/>
    <x v="0"/>
    <x v="1"/>
    <x v="1"/>
    <s v="No"/>
    <n v="0"/>
    <n v="2"/>
    <n v="3"/>
  </r>
  <r>
    <n v="3346"/>
    <x v="115"/>
    <x v="0"/>
    <x v="114"/>
    <x v="0"/>
    <n v="15"/>
    <x v="1"/>
    <x v="0"/>
    <x v="0"/>
    <s v="Yes"/>
    <n v="20"/>
    <n v="5"/>
    <n v="60"/>
  </r>
  <r>
    <n v="3347"/>
    <x v="116"/>
    <x v="2"/>
    <x v="115"/>
    <x v="1"/>
    <n v="10"/>
    <x v="0"/>
    <x v="1"/>
    <x v="1"/>
    <s v="Yes"/>
    <n v="20"/>
    <n v="10"/>
    <n v="20"/>
  </r>
  <r>
    <n v="3348"/>
    <x v="117"/>
    <x v="1"/>
    <x v="116"/>
    <x v="0"/>
    <n v="5"/>
    <x v="2"/>
    <x v="1"/>
    <x v="1"/>
    <s v="No"/>
    <n v="0"/>
    <n v="0"/>
    <n v="5"/>
  </r>
  <r>
    <n v="3349"/>
    <x v="93"/>
    <x v="0"/>
    <x v="117"/>
    <x v="1"/>
    <n v="15"/>
    <x v="0"/>
    <x v="0"/>
    <x v="0"/>
    <s v="Yes"/>
    <n v="20"/>
    <n v="3"/>
    <n v="62"/>
  </r>
  <r>
    <n v="3350"/>
    <x v="118"/>
    <x v="2"/>
    <x v="118"/>
    <x v="0"/>
    <n v="10"/>
    <x v="1"/>
    <x v="1"/>
    <x v="1"/>
    <s v="Yes"/>
    <n v="20"/>
    <n v="15"/>
    <n v="15"/>
  </r>
  <r>
    <n v="3351"/>
    <x v="119"/>
    <x v="1"/>
    <x v="119"/>
    <x v="1"/>
    <n v="5"/>
    <x v="0"/>
    <x v="1"/>
    <x v="1"/>
    <s v="No"/>
    <n v="0"/>
    <n v="1"/>
    <n v="4"/>
  </r>
  <r>
    <n v="3352"/>
    <x v="120"/>
    <x v="0"/>
    <x v="120"/>
    <x v="0"/>
    <n v="15"/>
    <x v="2"/>
    <x v="0"/>
    <x v="0"/>
    <s v="Yes"/>
    <n v="20"/>
    <n v="7"/>
    <n v="58"/>
  </r>
  <r>
    <n v="3353"/>
    <x v="121"/>
    <x v="2"/>
    <x v="121"/>
    <x v="1"/>
    <n v="10"/>
    <x v="0"/>
    <x v="1"/>
    <x v="1"/>
    <s v="Yes"/>
    <n v="20"/>
    <n v="10"/>
    <n v="20"/>
  </r>
  <r>
    <n v="3354"/>
    <x v="122"/>
    <x v="1"/>
    <x v="122"/>
    <x v="0"/>
    <n v="5"/>
    <x v="1"/>
    <x v="1"/>
    <x v="1"/>
    <s v="No"/>
    <n v="0"/>
    <n v="0"/>
    <n v="5"/>
  </r>
  <r>
    <n v="3355"/>
    <x v="123"/>
    <x v="0"/>
    <x v="123"/>
    <x v="1"/>
    <n v="15"/>
    <x v="0"/>
    <x v="0"/>
    <x v="0"/>
    <s v="Yes"/>
    <n v="20"/>
    <n v="20"/>
    <n v="45"/>
  </r>
  <r>
    <n v="3356"/>
    <x v="124"/>
    <x v="2"/>
    <x v="124"/>
    <x v="0"/>
    <n v="10"/>
    <x v="2"/>
    <x v="1"/>
    <x v="1"/>
    <s v="Yes"/>
    <n v="20"/>
    <n v="15"/>
    <n v="15"/>
  </r>
  <r>
    <n v="3357"/>
    <x v="125"/>
    <x v="1"/>
    <x v="125"/>
    <x v="1"/>
    <n v="5"/>
    <x v="0"/>
    <x v="1"/>
    <x v="1"/>
    <s v="No"/>
    <n v="0"/>
    <n v="1"/>
    <n v="4"/>
  </r>
  <r>
    <n v="3358"/>
    <x v="126"/>
    <x v="0"/>
    <x v="126"/>
    <x v="0"/>
    <n v="15"/>
    <x v="1"/>
    <x v="0"/>
    <x v="0"/>
    <s v="Yes"/>
    <n v="20"/>
    <n v="3"/>
    <n v="62"/>
  </r>
  <r>
    <n v="3359"/>
    <x v="127"/>
    <x v="2"/>
    <x v="127"/>
    <x v="1"/>
    <n v="10"/>
    <x v="0"/>
    <x v="1"/>
    <x v="1"/>
    <s v="Yes"/>
    <n v="20"/>
    <n v="10"/>
    <n v="20"/>
  </r>
  <r>
    <n v="3360"/>
    <x v="128"/>
    <x v="1"/>
    <x v="128"/>
    <x v="0"/>
    <n v="5"/>
    <x v="2"/>
    <x v="1"/>
    <x v="1"/>
    <s v="No"/>
    <n v="0"/>
    <n v="0"/>
    <n v="5"/>
  </r>
  <r>
    <n v="3361"/>
    <x v="129"/>
    <x v="0"/>
    <x v="129"/>
    <x v="1"/>
    <n v="15"/>
    <x v="0"/>
    <x v="0"/>
    <x v="0"/>
    <s v="Yes"/>
    <n v="20"/>
    <n v="15"/>
    <n v="50"/>
  </r>
  <r>
    <n v="3362"/>
    <x v="130"/>
    <x v="2"/>
    <x v="130"/>
    <x v="0"/>
    <n v="10"/>
    <x v="1"/>
    <x v="1"/>
    <x v="1"/>
    <s v="Yes"/>
    <n v="20"/>
    <n v="15"/>
    <n v="15"/>
  </r>
  <r>
    <n v="3363"/>
    <x v="131"/>
    <x v="1"/>
    <x v="131"/>
    <x v="1"/>
    <n v="5"/>
    <x v="0"/>
    <x v="1"/>
    <x v="1"/>
    <s v="No"/>
    <n v="0"/>
    <n v="1"/>
    <n v="4"/>
  </r>
  <r>
    <n v="3364"/>
    <x v="132"/>
    <x v="0"/>
    <x v="132"/>
    <x v="0"/>
    <n v="15"/>
    <x v="2"/>
    <x v="0"/>
    <x v="0"/>
    <s v="Yes"/>
    <n v="20"/>
    <n v="7"/>
    <n v="58"/>
  </r>
  <r>
    <n v="3365"/>
    <x v="133"/>
    <x v="2"/>
    <x v="133"/>
    <x v="1"/>
    <n v="10"/>
    <x v="0"/>
    <x v="1"/>
    <x v="1"/>
    <s v="Yes"/>
    <n v="20"/>
    <n v="10"/>
    <n v="20"/>
  </r>
  <r>
    <n v="3366"/>
    <x v="134"/>
    <x v="1"/>
    <x v="134"/>
    <x v="0"/>
    <n v="5"/>
    <x v="0"/>
    <x v="1"/>
    <x v="1"/>
    <s v="No"/>
    <n v="0"/>
    <n v="0"/>
    <n v="5"/>
  </r>
  <r>
    <n v="3367"/>
    <x v="135"/>
    <x v="0"/>
    <x v="135"/>
    <x v="1"/>
    <n v="15"/>
    <x v="2"/>
    <x v="0"/>
    <x v="0"/>
    <s v="Yes"/>
    <n v="20"/>
    <n v="7"/>
    <n v="58"/>
  </r>
  <r>
    <n v="3368"/>
    <x v="136"/>
    <x v="2"/>
    <x v="136"/>
    <x v="0"/>
    <n v="10"/>
    <x v="1"/>
    <x v="1"/>
    <x v="1"/>
    <s v="Yes"/>
    <n v="20"/>
    <n v="10"/>
    <n v="20"/>
  </r>
  <r>
    <n v="3369"/>
    <x v="137"/>
    <x v="1"/>
    <x v="137"/>
    <x v="1"/>
    <n v="5"/>
    <x v="2"/>
    <x v="1"/>
    <x v="1"/>
    <s v="No"/>
    <n v="0"/>
    <n v="1"/>
    <n v="4"/>
  </r>
  <r>
    <n v="3370"/>
    <x v="138"/>
    <x v="0"/>
    <x v="138"/>
    <x v="0"/>
    <n v="15"/>
    <x v="0"/>
    <x v="0"/>
    <x v="0"/>
    <s v="Yes"/>
    <n v="20"/>
    <n v="15"/>
    <n v="50"/>
  </r>
  <r>
    <n v="3371"/>
    <x v="139"/>
    <x v="2"/>
    <x v="139"/>
    <x v="1"/>
    <n v="10"/>
    <x v="0"/>
    <x v="1"/>
    <x v="1"/>
    <s v="Yes"/>
    <n v="20"/>
    <n v="5"/>
    <n v="25"/>
  </r>
  <r>
    <n v="3372"/>
    <x v="140"/>
    <x v="1"/>
    <x v="140"/>
    <x v="0"/>
    <n v="5"/>
    <x v="1"/>
    <x v="1"/>
    <x v="1"/>
    <s v="No"/>
    <n v="0"/>
    <n v="0"/>
    <n v="5"/>
  </r>
  <r>
    <n v="3373"/>
    <x v="141"/>
    <x v="0"/>
    <x v="141"/>
    <x v="1"/>
    <n v="15"/>
    <x v="2"/>
    <x v="0"/>
    <x v="0"/>
    <s v="Yes"/>
    <n v="20"/>
    <n v="20"/>
    <n v="45"/>
  </r>
  <r>
    <n v="3374"/>
    <x v="142"/>
    <x v="2"/>
    <x v="142"/>
    <x v="0"/>
    <n v="10"/>
    <x v="2"/>
    <x v="1"/>
    <x v="1"/>
    <s v="Yes"/>
    <n v="20"/>
    <n v="12"/>
    <n v="18"/>
  </r>
  <r>
    <n v="3375"/>
    <x v="143"/>
    <x v="1"/>
    <x v="143"/>
    <x v="1"/>
    <n v="5"/>
    <x v="0"/>
    <x v="1"/>
    <x v="1"/>
    <s v="No"/>
    <n v="0"/>
    <n v="2"/>
    <n v="3"/>
  </r>
  <r>
    <n v="3376"/>
    <x v="144"/>
    <x v="0"/>
    <x v="144"/>
    <x v="0"/>
    <n v="15"/>
    <x v="1"/>
    <x v="0"/>
    <x v="0"/>
    <s v="Yes"/>
    <n v="20"/>
    <n v="5"/>
    <n v="60"/>
  </r>
  <r>
    <n v="3377"/>
    <x v="145"/>
    <x v="2"/>
    <x v="145"/>
    <x v="1"/>
    <n v="10"/>
    <x v="0"/>
    <x v="1"/>
    <x v="1"/>
    <s v="Yes"/>
    <n v="20"/>
    <n v="10"/>
    <n v="20"/>
  </r>
  <r>
    <n v="3378"/>
    <x v="146"/>
    <x v="1"/>
    <x v="146"/>
    <x v="0"/>
    <n v="5"/>
    <x v="2"/>
    <x v="1"/>
    <x v="1"/>
    <s v="No"/>
    <n v="0"/>
    <n v="0"/>
    <n v="5"/>
  </r>
  <r>
    <n v="3379"/>
    <x v="147"/>
    <x v="0"/>
    <x v="147"/>
    <x v="1"/>
    <n v="15"/>
    <x v="0"/>
    <x v="0"/>
    <x v="0"/>
    <s v="Yes"/>
    <n v="20"/>
    <n v="3"/>
    <n v="62"/>
  </r>
  <r>
    <n v="3380"/>
    <x v="148"/>
    <x v="2"/>
    <x v="148"/>
    <x v="0"/>
    <n v="10"/>
    <x v="1"/>
    <x v="1"/>
    <x v="1"/>
    <s v="Yes"/>
    <n v="20"/>
    <n v="15"/>
    <n v="15"/>
  </r>
  <r>
    <n v="3381"/>
    <x v="149"/>
    <x v="1"/>
    <x v="149"/>
    <x v="1"/>
    <n v="5"/>
    <x v="0"/>
    <x v="1"/>
    <x v="1"/>
    <s v="No"/>
    <n v="0"/>
    <n v="1"/>
    <n v="4"/>
  </r>
  <r>
    <n v="3382"/>
    <x v="150"/>
    <x v="0"/>
    <x v="150"/>
    <x v="0"/>
    <n v="15"/>
    <x v="2"/>
    <x v="0"/>
    <x v="0"/>
    <s v="Yes"/>
    <n v="20"/>
    <n v="7"/>
    <n v="58"/>
  </r>
  <r>
    <n v="3383"/>
    <x v="151"/>
    <x v="2"/>
    <x v="151"/>
    <x v="1"/>
    <n v="10"/>
    <x v="0"/>
    <x v="1"/>
    <x v="1"/>
    <s v="Yes"/>
    <n v="20"/>
    <n v="10"/>
    <n v="20"/>
  </r>
  <r>
    <n v="3384"/>
    <x v="152"/>
    <x v="1"/>
    <x v="152"/>
    <x v="0"/>
    <n v="5"/>
    <x v="1"/>
    <x v="1"/>
    <x v="1"/>
    <s v="No"/>
    <n v="0"/>
    <n v="0"/>
    <n v="5"/>
  </r>
  <r>
    <n v="3385"/>
    <x v="153"/>
    <x v="0"/>
    <x v="153"/>
    <x v="1"/>
    <n v="15"/>
    <x v="0"/>
    <x v="0"/>
    <x v="0"/>
    <s v="Yes"/>
    <n v="20"/>
    <n v="20"/>
    <n v="45"/>
  </r>
  <r>
    <n v="3386"/>
    <x v="154"/>
    <x v="2"/>
    <x v="154"/>
    <x v="0"/>
    <n v="10"/>
    <x v="2"/>
    <x v="1"/>
    <x v="1"/>
    <s v="Yes"/>
    <n v="20"/>
    <n v="15"/>
    <n v="15"/>
  </r>
  <r>
    <n v="3387"/>
    <x v="155"/>
    <x v="1"/>
    <x v="155"/>
    <x v="1"/>
    <n v="5"/>
    <x v="0"/>
    <x v="1"/>
    <x v="1"/>
    <s v="No"/>
    <n v="0"/>
    <n v="1"/>
    <n v="4"/>
  </r>
  <r>
    <n v="3388"/>
    <x v="156"/>
    <x v="0"/>
    <x v="156"/>
    <x v="0"/>
    <n v="15"/>
    <x v="1"/>
    <x v="0"/>
    <x v="0"/>
    <s v="Yes"/>
    <n v="20"/>
    <n v="3"/>
    <n v="62"/>
  </r>
  <r>
    <n v="3389"/>
    <x v="157"/>
    <x v="2"/>
    <x v="157"/>
    <x v="1"/>
    <n v="10"/>
    <x v="0"/>
    <x v="1"/>
    <x v="1"/>
    <s v="Yes"/>
    <n v="20"/>
    <n v="10"/>
    <n v="20"/>
  </r>
  <r>
    <n v="3390"/>
    <x v="158"/>
    <x v="1"/>
    <x v="158"/>
    <x v="0"/>
    <n v="5"/>
    <x v="2"/>
    <x v="1"/>
    <x v="1"/>
    <s v="No"/>
    <n v="0"/>
    <n v="0"/>
    <n v="5"/>
  </r>
  <r>
    <n v="3391"/>
    <x v="58"/>
    <x v="0"/>
    <x v="159"/>
    <x v="1"/>
    <n v="15"/>
    <x v="0"/>
    <x v="0"/>
    <x v="0"/>
    <s v="Yes"/>
    <n v="20"/>
    <n v="15"/>
    <n v="50"/>
  </r>
  <r>
    <n v="3392"/>
    <x v="159"/>
    <x v="2"/>
    <x v="160"/>
    <x v="0"/>
    <n v="10"/>
    <x v="1"/>
    <x v="1"/>
    <x v="1"/>
    <s v="Yes"/>
    <n v="20"/>
    <n v="15"/>
    <n v="15"/>
  </r>
  <r>
    <n v="3393"/>
    <x v="160"/>
    <x v="1"/>
    <x v="161"/>
    <x v="1"/>
    <n v="5"/>
    <x v="0"/>
    <x v="1"/>
    <x v="1"/>
    <s v="No"/>
    <n v="0"/>
    <n v="1"/>
    <n v="4"/>
  </r>
  <r>
    <n v="3394"/>
    <x v="161"/>
    <x v="0"/>
    <x v="162"/>
    <x v="0"/>
    <n v="15"/>
    <x v="2"/>
    <x v="0"/>
    <x v="0"/>
    <s v="Yes"/>
    <n v="20"/>
    <n v="7"/>
    <n v="58"/>
  </r>
  <r>
    <n v="3395"/>
    <x v="162"/>
    <x v="2"/>
    <x v="163"/>
    <x v="1"/>
    <n v="10"/>
    <x v="0"/>
    <x v="1"/>
    <x v="1"/>
    <s v="Yes"/>
    <n v="20"/>
    <n v="10"/>
    <n v="20"/>
  </r>
  <r>
    <n v="3396"/>
    <x v="163"/>
    <x v="1"/>
    <x v="164"/>
    <x v="0"/>
    <n v="5"/>
    <x v="1"/>
    <x v="1"/>
    <x v="1"/>
    <s v="No"/>
    <n v="0"/>
    <n v="0"/>
    <n v="5"/>
  </r>
  <r>
    <n v="3397"/>
    <x v="90"/>
    <x v="0"/>
    <x v="165"/>
    <x v="1"/>
    <n v="15"/>
    <x v="0"/>
    <x v="0"/>
    <x v="0"/>
    <s v="Yes"/>
    <n v="20"/>
    <n v="20"/>
    <n v="45"/>
  </r>
  <r>
    <n v="3398"/>
    <x v="164"/>
    <x v="2"/>
    <x v="166"/>
    <x v="0"/>
    <n v="10"/>
    <x v="2"/>
    <x v="1"/>
    <x v="1"/>
    <s v="Yes"/>
    <n v="20"/>
    <n v="15"/>
    <n v="15"/>
  </r>
  <r>
    <n v="3399"/>
    <x v="165"/>
    <x v="1"/>
    <x v="167"/>
    <x v="1"/>
    <n v="5"/>
    <x v="0"/>
    <x v="1"/>
    <x v="1"/>
    <s v="No"/>
    <n v="0"/>
    <n v="1"/>
    <n v="4"/>
  </r>
  <r>
    <n v="3400"/>
    <x v="166"/>
    <x v="0"/>
    <x v="168"/>
    <x v="0"/>
    <n v="15"/>
    <x v="1"/>
    <x v="0"/>
    <x v="0"/>
    <s v="Yes"/>
    <n v="20"/>
    <n v="5"/>
    <n v="60"/>
  </r>
  <r>
    <n v="3401"/>
    <x v="167"/>
    <x v="2"/>
    <x v="169"/>
    <x v="1"/>
    <n v="10"/>
    <x v="0"/>
    <x v="1"/>
    <x v="1"/>
    <s v="Yes"/>
    <n v="20"/>
    <n v="10"/>
    <n v="20"/>
  </r>
  <r>
    <n v="3402"/>
    <x v="168"/>
    <x v="1"/>
    <x v="170"/>
    <x v="0"/>
    <n v="5"/>
    <x v="2"/>
    <x v="1"/>
    <x v="1"/>
    <s v="No"/>
    <n v="0"/>
    <n v="0"/>
    <n v="5"/>
  </r>
  <r>
    <n v="3403"/>
    <x v="169"/>
    <x v="0"/>
    <x v="171"/>
    <x v="1"/>
    <n v="15"/>
    <x v="0"/>
    <x v="0"/>
    <x v="0"/>
    <s v="Yes"/>
    <n v="20"/>
    <n v="3"/>
    <n v="62"/>
  </r>
  <r>
    <n v="3404"/>
    <x v="170"/>
    <x v="2"/>
    <x v="172"/>
    <x v="0"/>
    <n v="10"/>
    <x v="1"/>
    <x v="1"/>
    <x v="1"/>
    <s v="Yes"/>
    <n v="20"/>
    <n v="15"/>
    <n v="15"/>
  </r>
  <r>
    <n v="3405"/>
    <x v="171"/>
    <x v="1"/>
    <x v="173"/>
    <x v="1"/>
    <n v="5"/>
    <x v="0"/>
    <x v="1"/>
    <x v="1"/>
    <s v="No"/>
    <n v="0"/>
    <n v="1"/>
    <n v="4"/>
  </r>
  <r>
    <n v="3406"/>
    <x v="172"/>
    <x v="1"/>
    <x v="174"/>
    <x v="0"/>
    <n v="5"/>
    <x v="0"/>
    <x v="1"/>
    <x v="1"/>
    <s v="No"/>
    <n v="0"/>
    <n v="0"/>
    <n v="5"/>
  </r>
  <r>
    <n v="3407"/>
    <x v="173"/>
    <x v="0"/>
    <x v="175"/>
    <x v="1"/>
    <n v="15"/>
    <x v="2"/>
    <x v="0"/>
    <x v="0"/>
    <s v="Yes"/>
    <n v="20"/>
    <n v="7"/>
    <n v="58"/>
  </r>
  <r>
    <n v="3408"/>
    <x v="174"/>
    <x v="2"/>
    <x v="176"/>
    <x v="0"/>
    <n v="10"/>
    <x v="1"/>
    <x v="1"/>
    <x v="1"/>
    <s v="Yes"/>
    <n v="20"/>
    <n v="10"/>
    <n v="20"/>
  </r>
  <r>
    <n v="3409"/>
    <x v="175"/>
    <x v="1"/>
    <x v="177"/>
    <x v="1"/>
    <n v="5"/>
    <x v="2"/>
    <x v="1"/>
    <x v="1"/>
    <s v="No"/>
    <n v="0"/>
    <n v="1"/>
    <n v="4"/>
  </r>
  <r>
    <n v="3410"/>
    <x v="176"/>
    <x v="0"/>
    <x v="178"/>
    <x v="0"/>
    <n v="15"/>
    <x v="0"/>
    <x v="0"/>
    <x v="0"/>
    <s v="Yes"/>
    <n v="20"/>
    <n v="15"/>
    <n v="50"/>
  </r>
  <r>
    <n v="3411"/>
    <x v="177"/>
    <x v="2"/>
    <x v="179"/>
    <x v="1"/>
    <n v="10"/>
    <x v="0"/>
    <x v="1"/>
    <x v="1"/>
    <s v="Yes"/>
    <n v="20"/>
    <n v="5"/>
    <n v="25"/>
  </r>
  <r>
    <n v="3412"/>
    <x v="178"/>
    <x v="1"/>
    <x v="180"/>
    <x v="0"/>
    <n v="5"/>
    <x v="1"/>
    <x v="1"/>
    <x v="1"/>
    <s v="No"/>
    <n v="0"/>
    <n v="0"/>
    <n v="5"/>
  </r>
  <r>
    <n v="3413"/>
    <x v="179"/>
    <x v="0"/>
    <x v="181"/>
    <x v="1"/>
    <n v="15"/>
    <x v="2"/>
    <x v="0"/>
    <x v="0"/>
    <s v="Yes"/>
    <n v="20"/>
    <n v="20"/>
    <n v="45"/>
  </r>
  <r>
    <n v="3414"/>
    <x v="180"/>
    <x v="2"/>
    <x v="182"/>
    <x v="0"/>
    <n v="10"/>
    <x v="2"/>
    <x v="1"/>
    <x v="1"/>
    <s v="Yes"/>
    <n v="20"/>
    <n v="12"/>
    <n v="18"/>
  </r>
  <r>
    <n v="3415"/>
    <x v="181"/>
    <x v="1"/>
    <x v="183"/>
    <x v="1"/>
    <n v="5"/>
    <x v="0"/>
    <x v="1"/>
    <x v="1"/>
    <s v="No"/>
    <n v="0"/>
    <n v="2"/>
    <n v="3"/>
  </r>
  <r>
    <n v="3416"/>
    <x v="182"/>
    <x v="0"/>
    <x v="184"/>
    <x v="0"/>
    <n v="15"/>
    <x v="1"/>
    <x v="0"/>
    <x v="0"/>
    <s v="Yes"/>
    <n v="20"/>
    <n v="5"/>
    <n v="60"/>
  </r>
  <r>
    <n v="3417"/>
    <x v="183"/>
    <x v="2"/>
    <x v="185"/>
    <x v="1"/>
    <n v="10"/>
    <x v="0"/>
    <x v="1"/>
    <x v="1"/>
    <s v="Yes"/>
    <n v="20"/>
    <n v="10"/>
    <n v="20"/>
  </r>
  <r>
    <n v="3418"/>
    <x v="184"/>
    <x v="1"/>
    <x v="186"/>
    <x v="0"/>
    <n v="5"/>
    <x v="2"/>
    <x v="1"/>
    <x v="1"/>
    <s v="No"/>
    <n v="0"/>
    <n v="0"/>
    <n v="5"/>
  </r>
  <r>
    <n v="3419"/>
    <x v="185"/>
    <x v="0"/>
    <x v="187"/>
    <x v="1"/>
    <n v="15"/>
    <x v="0"/>
    <x v="0"/>
    <x v="0"/>
    <s v="Yes"/>
    <n v="20"/>
    <n v="3"/>
    <n v="62"/>
  </r>
  <r>
    <n v="3420"/>
    <x v="186"/>
    <x v="2"/>
    <x v="188"/>
    <x v="0"/>
    <n v="10"/>
    <x v="1"/>
    <x v="1"/>
    <x v="1"/>
    <s v="Yes"/>
    <n v="20"/>
    <n v="15"/>
    <n v="15"/>
  </r>
  <r>
    <n v="3421"/>
    <x v="15"/>
    <x v="1"/>
    <x v="189"/>
    <x v="1"/>
    <n v="5"/>
    <x v="0"/>
    <x v="1"/>
    <x v="1"/>
    <s v="No"/>
    <n v="0"/>
    <n v="1"/>
    <n v="4"/>
  </r>
  <r>
    <n v="3422"/>
    <x v="187"/>
    <x v="0"/>
    <x v="190"/>
    <x v="0"/>
    <n v="15"/>
    <x v="2"/>
    <x v="0"/>
    <x v="0"/>
    <s v="Yes"/>
    <n v="20"/>
    <n v="7"/>
    <n v="58"/>
  </r>
  <r>
    <n v="3423"/>
    <x v="188"/>
    <x v="2"/>
    <x v="191"/>
    <x v="1"/>
    <n v="10"/>
    <x v="0"/>
    <x v="1"/>
    <x v="1"/>
    <s v="Yes"/>
    <n v="20"/>
    <n v="10"/>
    <n v="20"/>
  </r>
  <r>
    <n v="3424"/>
    <x v="14"/>
    <x v="1"/>
    <x v="192"/>
    <x v="0"/>
    <n v="5"/>
    <x v="1"/>
    <x v="1"/>
    <x v="1"/>
    <s v="No"/>
    <n v="0"/>
    <n v="0"/>
    <n v="5"/>
  </r>
  <r>
    <n v="3425"/>
    <x v="189"/>
    <x v="0"/>
    <x v="193"/>
    <x v="1"/>
    <n v="15"/>
    <x v="0"/>
    <x v="0"/>
    <x v="0"/>
    <s v="Yes"/>
    <n v="20"/>
    <n v="20"/>
    <n v="45"/>
  </r>
  <r>
    <n v="3426"/>
    <x v="167"/>
    <x v="2"/>
    <x v="194"/>
    <x v="0"/>
    <n v="10"/>
    <x v="2"/>
    <x v="1"/>
    <x v="1"/>
    <s v="Yes"/>
    <n v="20"/>
    <n v="15"/>
    <n v="15"/>
  </r>
  <r>
    <n v="3427"/>
    <x v="190"/>
    <x v="1"/>
    <x v="195"/>
    <x v="1"/>
    <n v="5"/>
    <x v="0"/>
    <x v="1"/>
    <x v="1"/>
    <s v="No"/>
    <n v="0"/>
    <n v="1"/>
    <n v="4"/>
  </r>
  <r>
    <n v="3428"/>
    <x v="191"/>
    <x v="0"/>
    <x v="196"/>
    <x v="0"/>
    <n v="15"/>
    <x v="1"/>
    <x v="0"/>
    <x v="0"/>
    <s v="Yes"/>
    <n v="20"/>
    <n v="3"/>
    <n v="62"/>
  </r>
  <r>
    <n v="3429"/>
    <x v="192"/>
    <x v="2"/>
    <x v="197"/>
    <x v="1"/>
    <n v="10"/>
    <x v="0"/>
    <x v="1"/>
    <x v="1"/>
    <s v="Yes"/>
    <n v="20"/>
    <n v="10"/>
    <n v="20"/>
  </r>
  <r>
    <n v="3430"/>
    <x v="193"/>
    <x v="1"/>
    <x v="198"/>
    <x v="0"/>
    <n v="5"/>
    <x v="2"/>
    <x v="1"/>
    <x v="1"/>
    <s v="No"/>
    <n v="0"/>
    <n v="0"/>
    <n v="5"/>
  </r>
  <r>
    <n v="3431"/>
    <x v="194"/>
    <x v="0"/>
    <x v="199"/>
    <x v="1"/>
    <n v="15"/>
    <x v="0"/>
    <x v="0"/>
    <x v="0"/>
    <s v="Yes"/>
    <n v="20"/>
    <n v="15"/>
    <n v="50"/>
  </r>
  <r>
    <n v="3432"/>
    <x v="195"/>
    <x v="2"/>
    <x v="200"/>
    <x v="0"/>
    <n v="10"/>
    <x v="1"/>
    <x v="1"/>
    <x v="1"/>
    <s v="Yes"/>
    <n v="20"/>
    <n v="15"/>
    <n v="15"/>
  </r>
  <r>
    <n v="3433"/>
    <x v="196"/>
    <x v="1"/>
    <x v="201"/>
    <x v="1"/>
    <n v="5"/>
    <x v="0"/>
    <x v="1"/>
    <x v="1"/>
    <s v="No"/>
    <n v="0"/>
    <n v="1"/>
    <n v="4"/>
  </r>
  <r>
    <n v="3434"/>
    <x v="197"/>
    <x v="0"/>
    <x v="202"/>
    <x v="0"/>
    <n v="15"/>
    <x v="2"/>
    <x v="0"/>
    <x v="0"/>
    <s v="Yes"/>
    <n v="20"/>
    <n v="7"/>
    <n v="58"/>
  </r>
  <r>
    <n v="3435"/>
    <x v="198"/>
    <x v="2"/>
    <x v="203"/>
    <x v="1"/>
    <n v="10"/>
    <x v="0"/>
    <x v="1"/>
    <x v="1"/>
    <s v="Yes"/>
    <n v="20"/>
    <n v="10"/>
    <n v="20"/>
  </r>
  <r>
    <n v="3436"/>
    <x v="199"/>
    <x v="1"/>
    <x v="204"/>
    <x v="0"/>
    <n v="5"/>
    <x v="0"/>
    <x v="1"/>
    <x v="1"/>
    <s v="No"/>
    <n v="0"/>
    <n v="0"/>
    <n v="5"/>
  </r>
  <r>
    <n v="3437"/>
    <x v="200"/>
    <x v="0"/>
    <x v="205"/>
    <x v="1"/>
    <n v="15"/>
    <x v="2"/>
    <x v="0"/>
    <x v="0"/>
    <s v="Yes"/>
    <n v="20"/>
    <n v="7"/>
    <n v="58"/>
  </r>
  <r>
    <n v="3438"/>
    <x v="201"/>
    <x v="2"/>
    <x v="206"/>
    <x v="0"/>
    <n v="10"/>
    <x v="1"/>
    <x v="1"/>
    <x v="1"/>
    <s v="Yes"/>
    <n v="20"/>
    <n v="10"/>
    <n v="20"/>
  </r>
  <r>
    <n v="3439"/>
    <x v="202"/>
    <x v="1"/>
    <x v="207"/>
    <x v="1"/>
    <n v="5"/>
    <x v="2"/>
    <x v="1"/>
    <x v="1"/>
    <s v="No"/>
    <n v="0"/>
    <n v="1"/>
    <n v="4"/>
  </r>
  <r>
    <n v="3440"/>
    <x v="203"/>
    <x v="0"/>
    <x v="208"/>
    <x v="0"/>
    <n v="15"/>
    <x v="0"/>
    <x v="0"/>
    <x v="0"/>
    <s v="Yes"/>
    <n v="20"/>
    <n v="15"/>
    <n v="50"/>
  </r>
  <r>
    <n v="3441"/>
    <x v="204"/>
    <x v="2"/>
    <x v="209"/>
    <x v="1"/>
    <n v="10"/>
    <x v="0"/>
    <x v="1"/>
    <x v="1"/>
    <s v="Yes"/>
    <n v="20"/>
    <n v="5"/>
    <n v="25"/>
  </r>
  <r>
    <n v="3442"/>
    <x v="205"/>
    <x v="1"/>
    <x v="210"/>
    <x v="0"/>
    <n v="5"/>
    <x v="1"/>
    <x v="1"/>
    <x v="1"/>
    <s v="No"/>
    <n v="0"/>
    <n v="0"/>
    <n v="5"/>
  </r>
  <r>
    <n v="3443"/>
    <x v="206"/>
    <x v="0"/>
    <x v="211"/>
    <x v="1"/>
    <n v="15"/>
    <x v="2"/>
    <x v="0"/>
    <x v="0"/>
    <s v="Yes"/>
    <n v="20"/>
    <n v="20"/>
    <n v="45"/>
  </r>
  <r>
    <n v="3444"/>
    <x v="207"/>
    <x v="2"/>
    <x v="212"/>
    <x v="0"/>
    <n v="10"/>
    <x v="2"/>
    <x v="1"/>
    <x v="1"/>
    <s v="Yes"/>
    <n v="20"/>
    <n v="12"/>
    <n v="18"/>
  </r>
  <r>
    <n v="3445"/>
    <x v="37"/>
    <x v="1"/>
    <x v="213"/>
    <x v="1"/>
    <n v="5"/>
    <x v="0"/>
    <x v="1"/>
    <x v="1"/>
    <s v="No"/>
    <n v="0"/>
    <n v="2"/>
    <n v="3"/>
  </r>
  <r>
    <n v="3446"/>
    <x v="208"/>
    <x v="0"/>
    <x v="214"/>
    <x v="0"/>
    <n v="15"/>
    <x v="1"/>
    <x v="0"/>
    <x v="0"/>
    <s v="Yes"/>
    <n v="20"/>
    <n v="5"/>
    <n v="60"/>
  </r>
  <r>
    <n v="3447"/>
    <x v="209"/>
    <x v="2"/>
    <x v="215"/>
    <x v="1"/>
    <n v="10"/>
    <x v="0"/>
    <x v="1"/>
    <x v="1"/>
    <s v="Yes"/>
    <n v="20"/>
    <n v="10"/>
    <n v="20"/>
  </r>
  <r>
    <n v="3448"/>
    <x v="210"/>
    <x v="1"/>
    <x v="216"/>
    <x v="0"/>
    <n v="5"/>
    <x v="2"/>
    <x v="1"/>
    <x v="1"/>
    <s v="No"/>
    <n v="0"/>
    <n v="0"/>
    <n v="5"/>
  </r>
  <r>
    <n v="3449"/>
    <x v="211"/>
    <x v="0"/>
    <x v="217"/>
    <x v="1"/>
    <n v="15"/>
    <x v="0"/>
    <x v="0"/>
    <x v="0"/>
    <s v="Yes"/>
    <n v="20"/>
    <n v="3"/>
    <n v="62"/>
  </r>
  <r>
    <n v="3450"/>
    <x v="212"/>
    <x v="2"/>
    <x v="218"/>
    <x v="0"/>
    <n v="10"/>
    <x v="1"/>
    <x v="1"/>
    <x v="1"/>
    <s v="Yes"/>
    <n v="20"/>
    <n v="15"/>
    <n v="15"/>
  </r>
  <r>
    <n v="3451"/>
    <x v="213"/>
    <x v="1"/>
    <x v="219"/>
    <x v="1"/>
    <n v="5"/>
    <x v="0"/>
    <x v="1"/>
    <x v="1"/>
    <s v="No"/>
    <n v="0"/>
    <n v="1"/>
    <n v="4"/>
  </r>
  <r>
    <n v="3452"/>
    <x v="191"/>
    <x v="0"/>
    <x v="220"/>
    <x v="0"/>
    <n v="15"/>
    <x v="2"/>
    <x v="0"/>
    <x v="0"/>
    <s v="Yes"/>
    <n v="20"/>
    <n v="7"/>
    <n v="58"/>
  </r>
  <r>
    <n v="3453"/>
    <x v="45"/>
    <x v="2"/>
    <x v="221"/>
    <x v="1"/>
    <n v="10"/>
    <x v="0"/>
    <x v="1"/>
    <x v="1"/>
    <s v="Yes"/>
    <n v="20"/>
    <n v="10"/>
    <n v="20"/>
  </r>
  <r>
    <n v="3454"/>
    <x v="214"/>
    <x v="1"/>
    <x v="222"/>
    <x v="0"/>
    <n v="5"/>
    <x v="1"/>
    <x v="1"/>
    <x v="1"/>
    <s v="No"/>
    <n v="0"/>
    <n v="0"/>
    <n v="5"/>
  </r>
  <r>
    <n v="3455"/>
    <x v="215"/>
    <x v="0"/>
    <x v="223"/>
    <x v="1"/>
    <n v="15"/>
    <x v="0"/>
    <x v="0"/>
    <x v="0"/>
    <s v="Yes"/>
    <n v="20"/>
    <n v="20"/>
    <n v="45"/>
  </r>
  <r>
    <n v="3456"/>
    <x v="216"/>
    <x v="2"/>
    <x v="224"/>
    <x v="0"/>
    <n v="10"/>
    <x v="2"/>
    <x v="1"/>
    <x v="1"/>
    <s v="Yes"/>
    <n v="20"/>
    <n v="15"/>
    <n v="15"/>
  </r>
  <r>
    <n v="3457"/>
    <x v="217"/>
    <x v="1"/>
    <x v="225"/>
    <x v="1"/>
    <n v="5"/>
    <x v="0"/>
    <x v="1"/>
    <x v="1"/>
    <s v="No"/>
    <n v="0"/>
    <n v="1"/>
    <n v="4"/>
  </r>
  <r>
    <n v="3458"/>
    <x v="218"/>
    <x v="0"/>
    <x v="226"/>
    <x v="0"/>
    <n v="15"/>
    <x v="1"/>
    <x v="0"/>
    <x v="0"/>
    <s v="Yes"/>
    <n v="20"/>
    <n v="3"/>
    <n v="62"/>
  </r>
  <r>
    <n v="3459"/>
    <x v="219"/>
    <x v="2"/>
    <x v="227"/>
    <x v="1"/>
    <n v="10"/>
    <x v="0"/>
    <x v="1"/>
    <x v="1"/>
    <s v="Yes"/>
    <n v="20"/>
    <n v="10"/>
    <n v="20"/>
  </r>
  <r>
    <n v="3460"/>
    <x v="127"/>
    <x v="1"/>
    <x v="228"/>
    <x v="0"/>
    <n v="5"/>
    <x v="2"/>
    <x v="1"/>
    <x v="1"/>
    <s v="No"/>
    <n v="0"/>
    <n v="0"/>
    <n v="5"/>
  </r>
  <r>
    <n v="3461"/>
    <x v="220"/>
    <x v="0"/>
    <x v="229"/>
    <x v="1"/>
    <n v="15"/>
    <x v="0"/>
    <x v="0"/>
    <x v="0"/>
    <s v="Yes"/>
    <n v="20"/>
    <n v="15"/>
    <n v="50"/>
  </r>
  <r>
    <n v="3462"/>
    <x v="221"/>
    <x v="2"/>
    <x v="230"/>
    <x v="0"/>
    <n v="10"/>
    <x v="1"/>
    <x v="1"/>
    <x v="1"/>
    <s v="Yes"/>
    <n v="20"/>
    <n v="15"/>
    <n v="15"/>
  </r>
  <r>
    <n v="3463"/>
    <x v="222"/>
    <x v="1"/>
    <x v="231"/>
    <x v="1"/>
    <n v="5"/>
    <x v="0"/>
    <x v="1"/>
    <x v="1"/>
    <s v="No"/>
    <n v="0"/>
    <n v="1"/>
    <n v="4"/>
  </r>
  <r>
    <n v="3464"/>
    <x v="223"/>
    <x v="0"/>
    <x v="232"/>
    <x v="0"/>
    <n v="15"/>
    <x v="2"/>
    <x v="0"/>
    <x v="0"/>
    <s v="Yes"/>
    <n v="20"/>
    <n v="7"/>
    <n v="58"/>
  </r>
  <r>
    <n v="3465"/>
    <x v="224"/>
    <x v="2"/>
    <x v="233"/>
    <x v="1"/>
    <n v="10"/>
    <x v="0"/>
    <x v="1"/>
    <x v="1"/>
    <s v="Yes"/>
    <n v="20"/>
    <n v="10"/>
    <n v="20"/>
  </r>
  <r>
    <n v="3466"/>
    <x v="225"/>
    <x v="1"/>
    <x v="234"/>
    <x v="0"/>
    <n v="5"/>
    <x v="1"/>
    <x v="1"/>
    <x v="1"/>
    <s v="No"/>
    <n v="0"/>
    <n v="0"/>
    <n v="5"/>
  </r>
  <r>
    <n v="3467"/>
    <x v="226"/>
    <x v="0"/>
    <x v="235"/>
    <x v="1"/>
    <n v="15"/>
    <x v="0"/>
    <x v="0"/>
    <x v="0"/>
    <s v="Yes"/>
    <n v="20"/>
    <n v="15"/>
    <n v="50"/>
  </r>
  <r>
    <n v="3468"/>
    <x v="227"/>
    <x v="2"/>
    <x v="236"/>
    <x v="0"/>
    <n v="10"/>
    <x v="2"/>
    <x v="1"/>
    <x v="1"/>
    <s v="Yes"/>
    <n v="20"/>
    <n v="12"/>
    <n v="18"/>
  </r>
  <r>
    <n v="3469"/>
    <x v="228"/>
    <x v="1"/>
    <x v="237"/>
    <x v="1"/>
    <n v="5"/>
    <x v="0"/>
    <x v="1"/>
    <x v="1"/>
    <s v="No"/>
    <n v="0"/>
    <n v="2"/>
    <n v="3"/>
  </r>
  <r>
    <n v="3470"/>
    <x v="229"/>
    <x v="0"/>
    <x v="238"/>
    <x v="0"/>
    <n v="15"/>
    <x v="1"/>
    <x v="0"/>
    <x v="0"/>
    <s v="Yes"/>
    <n v="20"/>
    <n v="5"/>
    <n v="60"/>
  </r>
  <r>
    <n v="3471"/>
    <x v="230"/>
    <x v="2"/>
    <x v="239"/>
    <x v="1"/>
    <n v="10"/>
    <x v="0"/>
    <x v="1"/>
    <x v="1"/>
    <s v="Yes"/>
    <n v="20"/>
    <n v="10"/>
    <n v="20"/>
  </r>
  <r>
    <n v="3472"/>
    <x v="231"/>
    <x v="1"/>
    <x v="240"/>
    <x v="0"/>
    <n v="5"/>
    <x v="2"/>
    <x v="1"/>
    <x v="1"/>
    <s v="No"/>
    <n v="0"/>
    <n v="0"/>
    <n v="5"/>
  </r>
  <r>
    <n v="3473"/>
    <x v="140"/>
    <x v="0"/>
    <x v="241"/>
    <x v="1"/>
    <n v="15"/>
    <x v="0"/>
    <x v="0"/>
    <x v="0"/>
    <s v="Yes"/>
    <n v="20"/>
    <n v="3"/>
    <n v="62"/>
  </r>
  <r>
    <n v="3474"/>
    <x v="232"/>
    <x v="2"/>
    <x v="242"/>
    <x v="0"/>
    <n v="10"/>
    <x v="1"/>
    <x v="1"/>
    <x v="1"/>
    <s v="Yes"/>
    <n v="20"/>
    <n v="15"/>
    <n v="15"/>
  </r>
  <r>
    <n v="3475"/>
    <x v="233"/>
    <x v="1"/>
    <x v="243"/>
    <x v="1"/>
    <n v="5"/>
    <x v="0"/>
    <x v="1"/>
    <x v="1"/>
    <s v="No"/>
    <n v="0"/>
    <n v="1"/>
    <n v="4"/>
  </r>
  <r>
    <n v="3476"/>
    <x v="234"/>
    <x v="0"/>
    <x v="244"/>
    <x v="0"/>
    <n v="15"/>
    <x v="2"/>
    <x v="0"/>
    <x v="0"/>
    <s v="Yes"/>
    <n v="20"/>
    <n v="7"/>
    <n v="58"/>
  </r>
  <r>
    <n v="3477"/>
    <x v="235"/>
    <x v="2"/>
    <x v="245"/>
    <x v="1"/>
    <n v="10"/>
    <x v="0"/>
    <x v="1"/>
    <x v="1"/>
    <s v="Yes"/>
    <n v="20"/>
    <n v="10"/>
    <n v="20"/>
  </r>
  <r>
    <n v="3478"/>
    <x v="236"/>
    <x v="1"/>
    <x v="246"/>
    <x v="0"/>
    <n v="5"/>
    <x v="1"/>
    <x v="1"/>
    <x v="1"/>
    <s v="No"/>
    <n v="0"/>
    <n v="0"/>
    <n v="5"/>
  </r>
  <r>
    <n v="3479"/>
    <x v="237"/>
    <x v="0"/>
    <x v="247"/>
    <x v="1"/>
    <n v="15"/>
    <x v="0"/>
    <x v="0"/>
    <x v="0"/>
    <s v="Yes"/>
    <n v="20"/>
    <n v="20"/>
    <n v="45"/>
  </r>
  <r>
    <n v="3480"/>
    <x v="238"/>
    <x v="2"/>
    <x v="248"/>
    <x v="0"/>
    <n v="10"/>
    <x v="2"/>
    <x v="1"/>
    <x v="1"/>
    <s v="Yes"/>
    <n v="20"/>
    <n v="15"/>
    <n v="15"/>
  </r>
  <r>
    <n v="3481"/>
    <x v="239"/>
    <x v="1"/>
    <x v="249"/>
    <x v="1"/>
    <n v="5"/>
    <x v="0"/>
    <x v="1"/>
    <x v="1"/>
    <s v="No"/>
    <n v="0"/>
    <n v="1"/>
    <n v="4"/>
  </r>
  <r>
    <n v="3482"/>
    <x v="240"/>
    <x v="0"/>
    <x v="250"/>
    <x v="0"/>
    <n v="15"/>
    <x v="1"/>
    <x v="0"/>
    <x v="0"/>
    <s v="Yes"/>
    <n v="20"/>
    <n v="3"/>
    <n v="62"/>
  </r>
  <r>
    <n v="3483"/>
    <x v="241"/>
    <x v="2"/>
    <x v="251"/>
    <x v="1"/>
    <n v="10"/>
    <x v="0"/>
    <x v="1"/>
    <x v="1"/>
    <s v="Yes"/>
    <n v="20"/>
    <n v="10"/>
    <n v="20"/>
  </r>
  <r>
    <n v="3484"/>
    <x v="242"/>
    <x v="1"/>
    <x v="252"/>
    <x v="0"/>
    <n v="5"/>
    <x v="2"/>
    <x v="1"/>
    <x v="1"/>
    <s v="No"/>
    <n v="0"/>
    <n v="0"/>
    <n v="5"/>
  </r>
  <r>
    <n v="3485"/>
    <x v="243"/>
    <x v="0"/>
    <x v="253"/>
    <x v="1"/>
    <n v="15"/>
    <x v="0"/>
    <x v="0"/>
    <x v="0"/>
    <s v="Yes"/>
    <n v="20"/>
    <n v="15"/>
    <n v="50"/>
  </r>
  <r>
    <n v="3486"/>
    <x v="244"/>
    <x v="1"/>
    <x v="254"/>
    <x v="0"/>
    <n v="5"/>
    <x v="0"/>
    <x v="1"/>
    <x v="1"/>
    <s v="No"/>
    <n v="0"/>
    <n v="0"/>
    <n v="5"/>
  </r>
  <r>
    <n v="3487"/>
    <x v="245"/>
    <x v="0"/>
    <x v="255"/>
    <x v="1"/>
    <n v="15"/>
    <x v="2"/>
    <x v="0"/>
    <x v="0"/>
    <s v="Yes"/>
    <n v="20"/>
    <n v="7"/>
    <n v="58"/>
  </r>
  <r>
    <n v="3488"/>
    <x v="246"/>
    <x v="2"/>
    <x v="256"/>
    <x v="0"/>
    <n v="10"/>
    <x v="1"/>
    <x v="1"/>
    <x v="1"/>
    <s v="Yes"/>
    <n v="20"/>
    <n v="10"/>
    <n v="20"/>
  </r>
  <r>
    <n v="3489"/>
    <x v="247"/>
    <x v="1"/>
    <x v="257"/>
    <x v="1"/>
    <n v="5"/>
    <x v="2"/>
    <x v="1"/>
    <x v="1"/>
    <s v="No"/>
    <n v="0"/>
    <n v="1"/>
    <n v="4"/>
  </r>
  <r>
    <n v="3490"/>
    <x v="248"/>
    <x v="0"/>
    <x v="258"/>
    <x v="0"/>
    <n v="15"/>
    <x v="0"/>
    <x v="0"/>
    <x v="0"/>
    <s v="Yes"/>
    <n v="20"/>
    <n v="15"/>
    <n v="50"/>
  </r>
  <r>
    <n v="3491"/>
    <x v="249"/>
    <x v="2"/>
    <x v="259"/>
    <x v="1"/>
    <n v="10"/>
    <x v="0"/>
    <x v="1"/>
    <x v="1"/>
    <s v="Yes"/>
    <n v="20"/>
    <n v="5"/>
    <n v="25"/>
  </r>
  <r>
    <n v="3492"/>
    <x v="250"/>
    <x v="1"/>
    <x v="260"/>
    <x v="0"/>
    <n v="5"/>
    <x v="1"/>
    <x v="1"/>
    <x v="1"/>
    <s v="No"/>
    <n v="0"/>
    <n v="0"/>
    <n v="5"/>
  </r>
  <r>
    <n v="3493"/>
    <x v="251"/>
    <x v="0"/>
    <x v="261"/>
    <x v="1"/>
    <n v="15"/>
    <x v="2"/>
    <x v="0"/>
    <x v="0"/>
    <s v="Yes"/>
    <n v="20"/>
    <n v="20"/>
    <n v="45"/>
  </r>
  <r>
    <n v="3494"/>
    <x v="252"/>
    <x v="2"/>
    <x v="262"/>
    <x v="0"/>
    <n v="10"/>
    <x v="2"/>
    <x v="1"/>
    <x v="1"/>
    <s v="Yes"/>
    <n v="20"/>
    <n v="12"/>
    <n v="18"/>
  </r>
  <r>
    <n v="3495"/>
    <x v="253"/>
    <x v="1"/>
    <x v="263"/>
    <x v="1"/>
    <n v="5"/>
    <x v="0"/>
    <x v="1"/>
    <x v="1"/>
    <s v="No"/>
    <n v="0"/>
    <n v="2"/>
    <n v="3"/>
  </r>
  <r>
    <n v="3496"/>
    <x v="254"/>
    <x v="0"/>
    <x v="264"/>
    <x v="0"/>
    <n v="15"/>
    <x v="1"/>
    <x v="0"/>
    <x v="0"/>
    <s v="Yes"/>
    <n v="20"/>
    <n v="5"/>
    <n v="60"/>
  </r>
  <r>
    <n v="3497"/>
    <x v="255"/>
    <x v="2"/>
    <x v="265"/>
    <x v="1"/>
    <n v="10"/>
    <x v="0"/>
    <x v="1"/>
    <x v="1"/>
    <s v="Yes"/>
    <n v="20"/>
    <n v="10"/>
    <n v="20"/>
  </r>
  <r>
    <n v="3498"/>
    <x v="256"/>
    <x v="1"/>
    <x v="266"/>
    <x v="0"/>
    <n v="5"/>
    <x v="2"/>
    <x v="1"/>
    <x v="1"/>
    <s v="No"/>
    <n v="0"/>
    <n v="0"/>
    <n v="5"/>
  </r>
  <r>
    <n v="3499"/>
    <x v="257"/>
    <x v="0"/>
    <x v="267"/>
    <x v="1"/>
    <n v="15"/>
    <x v="0"/>
    <x v="0"/>
    <x v="0"/>
    <s v="Yes"/>
    <n v="20"/>
    <n v="3"/>
    <n v="62"/>
  </r>
  <r>
    <n v="3500"/>
    <x v="258"/>
    <x v="2"/>
    <x v="268"/>
    <x v="0"/>
    <n v="10"/>
    <x v="1"/>
    <x v="1"/>
    <x v="1"/>
    <s v="Yes"/>
    <n v="20"/>
    <n v="15"/>
    <n v="15"/>
  </r>
  <r>
    <n v="3501"/>
    <x v="259"/>
    <x v="1"/>
    <x v="269"/>
    <x v="1"/>
    <n v="5"/>
    <x v="0"/>
    <x v="1"/>
    <x v="1"/>
    <s v="No"/>
    <n v="0"/>
    <n v="1"/>
    <n v="4"/>
  </r>
  <r>
    <n v="3502"/>
    <x v="260"/>
    <x v="0"/>
    <x v="270"/>
    <x v="0"/>
    <n v="15"/>
    <x v="2"/>
    <x v="0"/>
    <x v="0"/>
    <s v="Yes"/>
    <n v="20"/>
    <n v="7"/>
    <n v="58"/>
  </r>
  <r>
    <n v="3503"/>
    <x v="119"/>
    <x v="2"/>
    <x v="271"/>
    <x v="1"/>
    <n v="10"/>
    <x v="0"/>
    <x v="1"/>
    <x v="1"/>
    <s v="Yes"/>
    <n v="20"/>
    <n v="10"/>
    <n v="20"/>
  </r>
  <r>
    <n v="3504"/>
    <x v="261"/>
    <x v="1"/>
    <x v="272"/>
    <x v="0"/>
    <n v="5"/>
    <x v="1"/>
    <x v="1"/>
    <x v="1"/>
    <s v="No"/>
    <n v="0"/>
    <n v="0"/>
    <n v="5"/>
  </r>
  <r>
    <n v="3505"/>
    <x v="262"/>
    <x v="0"/>
    <x v="273"/>
    <x v="1"/>
    <n v="15"/>
    <x v="0"/>
    <x v="0"/>
    <x v="0"/>
    <s v="Yes"/>
    <n v="20"/>
    <n v="20"/>
    <n v="45"/>
  </r>
  <r>
    <n v="3506"/>
    <x v="263"/>
    <x v="2"/>
    <x v="274"/>
    <x v="0"/>
    <n v="10"/>
    <x v="2"/>
    <x v="1"/>
    <x v="1"/>
    <s v="Yes"/>
    <n v="20"/>
    <n v="15"/>
    <n v="15"/>
  </r>
  <r>
    <n v="3507"/>
    <x v="264"/>
    <x v="1"/>
    <x v="275"/>
    <x v="1"/>
    <n v="5"/>
    <x v="0"/>
    <x v="1"/>
    <x v="1"/>
    <s v="No"/>
    <n v="0"/>
    <n v="1"/>
    <n v="4"/>
  </r>
  <r>
    <n v="3508"/>
    <x v="265"/>
    <x v="0"/>
    <x v="276"/>
    <x v="0"/>
    <n v="15"/>
    <x v="1"/>
    <x v="0"/>
    <x v="0"/>
    <s v="Yes"/>
    <n v="20"/>
    <n v="3"/>
    <n v="62"/>
  </r>
  <r>
    <n v="3509"/>
    <x v="266"/>
    <x v="2"/>
    <x v="277"/>
    <x v="1"/>
    <n v="10"/>
    <x v="0"/>
    <x v="1"/>
    <x v="1"/>
    <s v="Yes"/>
    <n v="20"/>
    <n v="10"/>
    <n v="20"/>
  </r>
  <r>
    <n v="3510"/>
    <x v="267"/>
    <x v="1"/>
    <x v="278"/>
    <x v="0"/>
    <n v="5"/>
    <x v="2"/>
    <x v="1"/>
    <x v="1"/>
    <s v="No"/>
    <n v="0"/>
    <n v="0"/>
    <n v="5"/>
  </r>
  <r>
    <n v="3511"/>
    <x v="268"/>
    <x v="0"/>
    <x v="279"/>
    <x v="1"/>
    <n v="15"/>
    <x v="0"/>
    <x v="0"/>
    <x v="0"/>
    <s v="Yes"/>
    <n v="20"/>
    <n v="15"/>
    <n v="50"/>
  </r>
  <r>
    <n v="3512"/>
    <x v="269"/>
    <x v="2"/>
    <x v="280"/>
    <x v="0"/>
    <n v="10"/>
    <x v="1"/>
    <x v="1"/>
    <x v="1"/>
    <s v="Yes"/>
    <n v="20"/>
    <n v="15"/>
    <n v="15"/>
  </r>
  <r>
    <n v="3513"/>
    <x v="270"/>
    <x v="1"/>
    <x v="281"/>
    <x v="1"/>
    <n v="5"/>
    <x v="0"/>
    <x v="1"/>
    <x v="1"/>
    <s v="No"/>
    <n v="0"/>
    <n v="1"/>
    <n v="4"/>
  </r>
  <r>
    <n v="3514"/>
    <x v="271"/>
    <x v="0"/>
    <x v="282"/>
    <x v="0"/>
    <n v="15"/>
    <x v="2"/>
    <x v="0"/>
    <x v="0"/>
    <s v="Yes"/>
    <n v="20"/>
    <n v="7"/>
    <n v="58"/>
  </r>
  <r>
    <n v="3515"/>
    <x v="130"/>
    <x v="2"/>
    <x v="283"/>
    <x v="1"/>
    <n v="10"/>
    <x v="0"/>
    <x v="1"/>
    <x v="1"/>
    <s v="Yes"/>
    <n v="20"/>
    <n v="10"/>
    <n v="20"/>
  </r>
  <r>
    <n v="3516"/>
    <x v="131"/>
    <x v="1"/>
    <x v="284"/>
    <x v="0"/>
    <n v="5"/>
    <x v="1"/>
    <x v="1"/>
    <x v="1"/>
    <s v="No"/>
    <n v="0"/>
    <n v="0"/>
    <n v="5"/>
  </r>
  <r>
    <n v="3517"/>
    <x v="181"/>
    <x v="0"/>
    <x v="285"/>
    <x v="1"/>
    <n v="15"/>
    <x v="0"/>
    <x v="0"/>
    <x v="0"/>
    <s v="Yes"/>
    <n v="20"/>
    <n v="20"/>
    <n v="45"/>
  </r>
  <r>
    <n v="3518"/>
    <x v="272"/>
    <x v="2"/>
    <x v="286"/>
    <x v="0"/>
    <n v="10"/>
    <x v="2"/>
    <x v="1"/>
    <x v="1"/>
    <s v="Yes"/>
    <n v="20"/>
    <n v="12"/>
    <n v="18"/>
  </r>
  <r>
    <n v="3519"/>
    <x v="273"/>
    <x v="1"/>
    <x v="287"/>
    <x v="1"/>
    <n v="5"/>
    <x v="0"/>
    <x v="1"/>
    <x v="1"/>
    <s v="No"/>
    <n v="0"/>
    <n v="2"/>
    <n v="3"/>
  </r>
  <r>
    <n v="3520"/>
    <x v="274"/>
    <x v="0"/>
    <x v="288"/>
    <x v="0"/>
    <n v="15"/>
    <x v="1"/>
    <x v="0"/>
    <x v="0"/>
    <s v="Yes"/>
    <n v="20"/>
    <n v="5"/>
    <n v="60"/>
  </r>
  <r>
    <n v="3521"/>
    <x v="275"/>
    <x v="2"/>
    <x v="289"/>
    <x v="1"/>
    <n v="10"/>
    <x v="0"/>
    <x v="1"/>
    <x v="1"/>
    <s v="Yes"/>
    <n v="20"/>
    <n v="10"/>
    <n v="20"/>
  </r>
  <r>
    <n v="3522"/>
    <x v="276"/>
    <x v="1"/>
    <x v="290"/>
    <x v="0"/>
    <n v="5"/>
    <x v="2"/>
    <x v="1"/>
    <x v="1"/>
    <s v="No"/>
    <n v="0"/>
    <n v="0"/>
    <n v="5"/>
  </r>
  <r>
    <n v="3523"/>
    <x v="277"/>
    <x v="0"/>
    <x v="291"/>
    <x v="1"/>
    <n v="15"/>
    <x v="0"/>
    <x v="0"/>
    <x v="0"/>
    <s v="Yes"/>
    <n v="20"/>
    <n v="3"/>
    <n v="62"/>
  </r>
  <r>
    <n v="3524"/>
    <x v="278"/>
    <x v="2"/>
    <x v="292"/>
    <x v="0"/>
    <n v="10"/>
    <x v="1"/>
    <x v="1"/>
    <x v="1"/>
    <s v="Yes"/>
    <n v="20"/>
    <n v="15"/>
    <n v="15"/>
  </r>
  <r>
    <n v="3525"/>
    <x v="279"/>
    <x v="1"/>
    <x v="293"/>
    <x v="1"/>
    <n v="5"/>
    <x v="0"/>
    <x v="1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A2D5F4-D47E-4EA2-A315-42EB7E80418C}" name="Tabela dinâmica7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9">
  <location ref="D22:D23" firstHeaderRow="1" firstDataRow="1" firstDataCol="0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Média de Total Value" fld="12" subtotal="average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2ADAED-66A8-466E-890C-53BBFA8177A7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9">
  <location ref="D1:E5" firstHeaderRow="1" firstDataRow="1" firstDataCol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E74896-8C87-47E2-8BCD-47C87F5E8674}" name="Tabela dinâmica4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33">
  <location ref="A9:B12" firstHeaderRow="1" firstDataRow="1" firstDataCol="1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axis="axisRow" showAll="0">
      <items count="3">
        <item x="1"/>
        <item x="0"/>
        <item t="default"/>
      </items>
    </pivotField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oma de Total Value" fld="12" baseField="0" baseItem="0" numFmtId="44"/>
  </dataFields>
  <chartFormats count="3"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AD8E5D-C4D8-44C0-9B58-9B5F65F2D893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5">
  <location ref="A1:B5" firstHeaderRow="1" firstDataRow="1" firstDataCol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Total Value" fld="12" baseField="0" baseItem="0" numFmtId="44"/>
  </dataFields>
  <chartFormats count="13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6D98A5-C857-4808-A71C-DA6FE368C570}" name="Tabela dinâmica6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9">
  <location ref="D16:D17" firstHeaderRow="1" firstDataRow="1" firstDataCol="0"/>
  <pivotFields count="15">
    <pivotField showAll="0"/>
    <pivotField showAll="0"/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dataField="1"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Soma de Coupon Value" fld="11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5D73158-510F-4375-8BFC-D878CCCE71B3}" name="Tabela dinâmica2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9">
  <location ref="D9:E13" firstHeaderRow="1" firstDataRow="1" firstDataCol="1"/>
  <pivotFields count="15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0D8664-1A92-4841-954F-2DC7063DA8F8}" name="Tabela dinâmica5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19">
  <location ref="A18:A19" firstHeaderRow="1" firstDataRow="1" firstDataCol="0"/>
  <pivotFields count="15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>
      <items count="4">
        <item x="1"/>
        <item x="2"/>
        <item x="0"/>
        <item t="default"/>
      </items>
    </pivotField>
    <pivotField numFmtId="14" showAll="0">
      <items count="295">
        <item x="0"/>
        <item x="1"/>
        <item x="2"/>
        <item x="3"/>
        <item x="5"/>
        <item x="6"/>
        <item x="7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t="default"/>
      </items>
    </pivotField>
    <pivotField showAll="0"/>
    <pivotField numFmtId="44" showAll="0"/>
    <pivotField showAll="0">
      <items count="4">
        <item h="1" x="1"/>
        <item h="1" x="0"/>
        <item x="2"/>
        <item t="default"/>
      </items>
    </pivotField>
    <pivotField showAll="0">
      <items count="3">
        <item x="1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numFmtId="44" showAll="0"/>
    <pivotField numFmtId="44" showAll="0"/>
    <pivotField dataField="1" numFmtId="4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Soma de Total Value" fld="12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855AC3BC-5768-4AB8-81D0-7F3D1EB3B400}" sourceName="Subscription Type">
  <pivotTables>
    <pivotTable tabId="3" name="Tabela dinâmica3"/>
    <pivotTable tabId="3" name="Tabela dinâmica1"/>
    <pivotTable tabId="3" name="Tabela dinâmica4"/>
    <pivotTable tabId="3" name="Tabela dinâmica2"/>
    <pivotTable tabId="3" name="Tabela dinâmica5"/>
    <pivotTable tabId="3" name="Tabela dinâmica6"/>
    <pivotTable tabId="3" name="Tabela dinâmica7"/>
  </pivotTables>
  <data>
    <tabular pivotCacheId="328331387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3348C8E2-DC3D-4F14-B36F-582FA3918562}" cache="SegmentaçãodeDados_Subscription_Type" caption="Subscription Type" style="SlicerStyleLight3 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 1" xr10:uid="{B66F2D22-CFD0-491B-B170-85949F03BCFD}" cache="SegmentaçãodeDados_Subscription_Type" caption="Subscription Type" style="SlicerStyleLight3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B5" sqref="B5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I2" sqref="I2:I294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A1:G23"/>
  <sheetViews>
    <sheetView showGridLines="0" workbookViewId="0">
      <selection activeCell="E23" sqref="E23"/>
    </sheetView>
  </sheetViews>
  <sheetFormatPr defaultRowHeight="15" x14ac:dyDescent="0.25"/>
  <cols>
    <col min="1" max="1" width="18.42578125" bestFit="1" customWidth="1"/>
    <col min="2" max="2" width="19.28515625" bestFit="1" customWidth="1"/>
    <col min="3" max="3" width="18.42578125" bestFit="1" customWidth="1"/>
    <col min="4" max="4" width="22.140625" bestFit="1" customWidth="1"/>
    <col min="5" max="5" width="27.7109375" bestFit="1" customWidth="1"/>
    <col min="6" max="6" width="19.140625" bestFit="1" customWidth="1"/>
    <col min="7" max="7" width="12.140625" bestFit="1" customWidth="1"/>
    <col min="8" max="8" width="18.42578125" bestFit="1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1" spans="1:7" x14ac:dyDescent="0.25">
      <c r="A1" s="12" t="s">
        <v>313</v>
      </c>
      <c r="B1" t="s">
        <v>315</v>
      </c>
      <c r="D1" s="12" t="s">
        <v>313</v>
      </c>
      <c r="E1" t="s">
        <v>316</v>
      </c>
    </row>
    <row r="2" spans="1:7" x14ac:dyDescent="0.25">
      <c r="A2" s="13" t="s">
        <v>22</v>
      </c>
      <c r="B2" s="14">
        <v>132</v>
      </c>
      <c r="D2" s="13" t="s">
        <v>22</v>
      </c>
      <c r="E2">
        <v>0</v>
      </c>
    </row>
    <row r="3" spans="1:7" x14ac:dyDescent="0.25">
      <c r="A3" s="13" t="s">
        <v>26</v>
      </c>
      <c r="B3" s="14">
        <v>395</v>
      </c>
      <c r="D3" s="13" t="s">
        <v>26</v>
      </c>
      <c r="E3">
        <v>0</v>
      </c>
    </row>
    <row r="4" spans="1:7" x14ac:dyDescent="0.25">
      <c r="A4" s="13" t="s">
        <v>18</v>
      </c>
      <c r="B4" s="14">
        <v>1781</v>
      </c>
      <c r="D4" s="13" t="s">
        <v>18</v>
      </c>
      <c r="E4">
        <v>990</v>
      </c>
    </row>
    <row r="5" spans="1:7" x14ac:dyDescent="0.25">
      <c r="A5" s="13" t="s">
        <v>314</v>
      </c>
      <c r="B5" s="14">
        <v>2308</v>
      </c>
      <c r="D5" s="13" t="s">
        <v>314</v>
      </c>
      <c r="E5">
        <v>990</v>
      </c>
      <c r="G5" s="15">
        <f>GETPIVOTDATA("EA Play Season Pass
Price",$D$1)</f>
        <v>990</v>
      </c>
    </row>
    <row r="6" spans="1:7" x14ac:dyDescent="0.25">
      <c r="A6" t="s">
        <v>322</v>
      </c>
    </row>
    <row r="8" spans="1:7" x14ac:dyDescent="0.25">
      <c r="A8" s="13" t="s">
        <v>319</v>
      </c>
      <c r="F8" t="s">
        <v>318</v>
      </c>
    </row>
    <row r="9" spans="1:7" x14ac:dyDescent="0.25">
      <c r="A9" s="12" t="s">
        <v>313</v>
      </c>
      <c r="B9" t="s">
        <v>315</v>
      </c>
      <c r="D9" s="12" t="s">
        <v>313</v>
      </c>
      <c r="E9" t="s">
        <v>320</v>
      </c>
    </row>
    <row r="10" spans="1:7" x14ac:dyDescent="0.25">
      <c r="A10" s="13" t="s">
        <v>23</v>
      </c>
      <c r="B10" s="14">
        <v>806</v>
      </c>
      <c r="D10" s="13" t="s">
        <v>22</v>
      </c>
      <c r="E10" s="14">
        <v>0</v>
      </c>
    </row>
    <row r="11" spans="1:7" x14ac:dyDescent="0.25">
      <c r="A11" s="13" t="s">
        <v>19</v>
      </c>
      <c r="B11" s="14">
        <v>1502</v>
      </c>
      <c r="D11" s="13" t="s">
        <v>26</v>
      </c>
      <c r="E11" s="14">
        <v>480</v>
      </c>
    </row>
    <row r="12" spans="1:7" x14ac:dyDescent="0.25">
      <c r="A12" s="13" t="s">
        <v>314</v>
      </c>
      <c r="B12" s="14">
        <v>2308</v>
      </c>
      <c r="D12" s="13" t="s">
        <v>18</v>
      </c>
      <c r="E12" s="14">
        <v>660</v>
      </c>
    </row>
    <row r="13" spans="1:7" x14ac:dyDescent="0.25">
      <c r="D13" s="13" t="s">
        <v>314</v>
      </c>
      <c r="E13" s="14">
        <v>1140</v>
      </c>
      <c r="G13" s="17">
        <f>GETPIVOTDATA("Minecraft Season Pass Price",$D$9)</f>
        <v>1140</v>
      </c>
    </row>
    <row r="16" spans="1:7" x14ac:dyDescent="0.25">
      <c r="D16" t="s">
        <v>323</v>
      </c>
    </row>
    <row r="17" spans="1:5" x14ac:dyDescent="0.25">
      <c r="D17" s="14">
        <v>697</v>
      </c>
      <c r="E17" s="21">
        <f>GETPIVOTDATA("Coupon Value",$D$16)</f>
        <v>697</v>
      </c>
    </row>
    <row r="18" spans="1:5" x14ac:dyDescent="0.25">
      <c r="A18" t="s">
        <v>315</v>
      </c>
    </row>
    <row r="19" spans="1:5" x14ac:dyDescent="0.25">
      <c r="A19" s="14">
        <v>2308</v>
      </c>
    </row>
    <row r="22" spans="1:5" x14ac:dyDescent="0.25">
      <c r="D22" t="s">
        <v>324</v>
      </c>
    </row>
    <row r="23" spans="1:5" x14ac:dyDescent="0.25">
      <c r="D23" s="14">
        <v>27.152941176470588</v>
      </c>
      <c r="E23" s="17">
        <f>GETPIVOTDATA("Total Value",$D$22)</f>
        <v>27.152941176470588</v>
      </c>
    </row>
  </sheetData>
  <pageMargins left="0.511811024" right="0.511811024" top="0.78740157499999996" bottom="0.78740157499999996" header="0.31496062000000002" footer="0.31496062000000002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3:AK966"/>
  <sheetViews>
    <sheetView showGridLines="0" showRowColHeaders="0" zoomScaleNormal="10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 x14ac:dyDescent="0.25"/>
  <cols>
    <col min="1" max="1" width="43" style="4" customWidth="1"/>
    <col min="2" max="2" width="3.5703125" customWidth="1"/>
    <col min="5" max="5" width="12.140625" bestFit="1" customWidth="1"/>
    <col min="12" max="12" width="6.5703125" customWidth="1"/>
  </cols>
  <sheetData>
    <row r="3" spans="1:37" ht="28.5" x14ac:dyDescent="0.45">
      <c r="D3" s="18" t="s">
        <v>317</v>
      </c>
      <c r="E3" s="19"/>
    </row>
    <row r="5" spans="1:37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25">
      <c r="A6" s="20" t="s">
        <v>321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</row>
    <row r="7" spans="1:37" ht="16.5" customHeight="1" x14ac:dyDescent="0.25"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 x14ac:dyDescent="0.25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B10" s="7"/>
      <c r="C10" s="7"/>
      <c r="D10" s="7"/>
      <c r="E10" s="16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2:37" x14ac:dyDescent="0.25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2:37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2:37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2:37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2:37" x14ac:dyDescent="0.25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2:37" x14ac:dyDescent="0.25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2:37" x14ac:dyDescent="0.25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2:37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2:37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2:37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2:37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2:37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2:37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2:37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2:37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2:37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2:37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2:37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2:37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2:37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2:37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2:37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2:37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2:37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2:37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2:37" x14ac:dyDescent="0.25"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2:37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2:37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2:37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2:37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2:37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2:37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2:37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2:37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2:37" x14ac:dyDescent="0.25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2:37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2:37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2:37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2:37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2:37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2:37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2:37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2:37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2:37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2:37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2:37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2:37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2:37" x14ac:dyDescent="0.2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2:37" x14ac:dyDescent="0.2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2:37" x14ac:dyDescent="0.25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2:37" x14ac:dyDescent="0.25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2:37" x14ac:dyDescent="0.2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2:37" x14ac:dyDescent="0.25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2:37" x14ac:dyDescent="0.25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2:37" x14ac:dyDescent="0.25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2:37" x14ac:dyDescent="0.25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2:37" x14ac:dyDescent="0.25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2:37" x14ac:dyDescent="0.25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2:37" x14ac:dyDescent="0.2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2:37" x14ac:dyDescent="0.25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2:37" x14ac:dyDescent="0.2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2:37" x14ac:dyDescent="0.25"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2:37" x14ac:dyDescent="0.25"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2:37" x14ac:dyDescent="0.25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2:37" x14ac:dyDescent="0.25"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2:37" x14ac:dyDescent="0.25"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2:37" x14ac:dyDescent="0.25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2:37" x14ac:dyDescent="0.25"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2:37" x14ac:dyDescent="0.25"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2:37" x14ac:dyDescent="0.25"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2:37" x14ac:dyDescent="0.2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2:37" x14ac:dyDescent="0.25"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2:37" x14ac:dyDescent="0.25"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2:37" x14ac:dyDescent="0.25"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2:37" x14ac:dyDescent="0.25"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2:37" x14ac:dyDescent="0.25"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2:37" x14ac:dyDescent="0.25"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2:37" x14ac:dyDescent="0.25"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2:37" x14ac:dyDescent="0.25"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2:37" x14ac:dyDescent="0.25"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2:37" x14ac:dyDescent="0.25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2:37" x14ac:dyDescent="0.25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2:37" x14ac:dyDescent="0.25"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2:37" x14ac:dyDescent="0.25"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2:37" x14ac:dyDescent="0.25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2:37" x14ac:dyDescent="0.25"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2:37" x14ac:dyDescent="0.25"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2:37" x14ac:dyDescent="0.25"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2:37" x14ac:dyDescent="0.25"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2:37" x14ac:dyDescent="0.25"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2:37" x14ac:dyDescent="0.25"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2:37" x14ac:dyDescent="0.25"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2:37" x14ac:dyDescent="0.25"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2:37" x14ac:dyDescent="0.25"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2:37" x14ac:dyDescent="0.25"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2:37" x14ac:dyDescent="0.25"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2:37" x14ac:dyDescent="0.25"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2:37" x14ac:dyDescent="0.25"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2:37" x14ac:dyDescent="0.25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2:37" x14ac:dyDescent="0.25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2:37" x14ac:dyDescent="0.25"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2:37" x14ac:dyDescent="0.25"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2:37" x14ac:dyDescent="0.25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2:37" x14ac:dyDescent="0.25"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2:37" x14ac:dyDescent="0.25"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2:37" x14ac:dyDescent="0.25"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2:37" x14ac:dyDescent="0.25"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2:37" x14ac:dyDescent="0.25"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2:37" x14ac:dyDescent="0.25"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2:37" x14ac:dyDescent="0.25"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2:37" x14ac:dyDescent="0.25"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2:37" x14ac:dyDescent="0.25"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2:37" x14ac:dyDescent="0.25"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2:37" x14ac:dyDescent="0.25"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2:37" x14ac:dyDescent="0.25"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2:37" x14ac:dyDescent="0.25"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2:37" x14ac:dyDescent="0.25"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2:37" x14ac:dyDescent="0.25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2:37" x14ac:dyDescent="0.25"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2:37" x14ac:dyDescent="0.25"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2:37" x14ac:dyDescent="0.25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2:37" x14ac:dyDescent="0.25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2:37" x14ac:dyDescent="0.25"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2:37" x14ac:dyDescent="0.25"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2:37" x14ac:dyDescent="0.25"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2:37" x14ac:dyDescent="0.25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2:37" x14ac:dyDescent="0.25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2:37" x14ac:dyDescent="0.25"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2:37" x14ac:dyDescent="0.25"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2:37" x14ac:dyDescent="0.25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2:37" x14ac:dyDescent="0.25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2:37" x14ac:dyDescent="0.25"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2:37" x14ac:dyDescent="0.25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2:37" x14ac:dyDescent="0.25"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2:37" x14ac:dyDescent="0.25"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2:37" x14ac:dyDescent="0.25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2:37" x14ac:dyDescent="0.25"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2:37" x14ac:dyDescent="0.25"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2:37" x14ac:dyDescent="0.25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2:37" x14ac:dyDescent="0.25"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2:37" x14ac:dyDescent="0.25"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2:37" x14ac:dyDescent="0.25"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2:37" x14ac:dyDescent="0.25"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2:37" x14ac:dyDescent="0.25"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2:37" x14ac:dyDescent="0.25"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2:37" x14ac:dyDescent="0.25"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2:37" x14ac:dyDescent="0.25"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2:37" x14ac:dyDescent="0.25"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2:37" x14ac:dyDescent="0.25"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2:37" x14ac:dyDescent="0.25"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2:37" x14ac:dyDescent="0.25"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2:37" x14ac:dyDescent="0.25"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2:37" x14ac:dyDescent="0.25"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2:37" x14ac:dyDescent="0.25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2:37" x14ac:dyDescent="0.25"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2:37" x14ac:dyDescent="0.25"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2:37" x14ac:dyDescent="0.25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2:37" x14ac:dyDescent="0.25"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2:37" x14ac:dyDescent="0.25"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2:37" x14ac:dyDescent="0.25"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2:37" x14ac:dyDescent="0.25"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2:37" x14ac:dyDescent="0.25"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2:37" x14ac:dyDescent="0.25"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2:37" x14ac:dyDescent="0.25"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2:37" x14ac:dyDescent="0.25"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2:37" x14ac:dyDescent="0.25"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2:37" x14ac:dyDescent="0.25"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2:37" x14ac:dyDescent="0.25"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2:37" x14ac:dyDescent="0.25"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2:37" x14ac:dyDescent="0.25"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2:37" x14ac:dyDescent="0.25"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2:37" x14ac:dyDescent="0.25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2:37" x14ac:dyDescent="0.25"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2:37" x14ac:dyDescent="0.25"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2:37" x14ac:dyDescent="0.25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2:37" x14ac:dyDescent="0.25"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2:37" x14ac:dyDescent="0.25"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2:37" x14ac:dyDescent="0.25"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2:37" x14ac:dyDescent="0.25"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2:37" x14ac:dyDescent="0.25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2:37" x14ac:dyDescent="0.25"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2:37" x14ac:dyDescent="0.25"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2:37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2:37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2:37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2:37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2:37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2:37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2:37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2:37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2:37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2:37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2:37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2:37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2:37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2:37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2:37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2:37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2:37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2:37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2:37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2:37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2:37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2:37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2:37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2:37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2:37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2:37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2:37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2:37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2:37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2:37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2:37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2:37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2:37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2:37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2:37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2:37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2:37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2:37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2:37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2:37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2:37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2:37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2:37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2:37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2:37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2:37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2:37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2:37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2:37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2:37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2:37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2:37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2:37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2:37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2:37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2:37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2:37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2:37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2:37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2:37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2:37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2:37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2:37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2:37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2:37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2:37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2:37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2:37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2:37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2:37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2:37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2:37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2:37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2:37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2:37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2:37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2:37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2:37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2:37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2:37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2:37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2:37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2:37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2:37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2:37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2:37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2:37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2:37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2:37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2:37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2:37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2:37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2:37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2:37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2:37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2:37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2:37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2:37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2:37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2:37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2:37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2:37" x14ac:dyDescent="0.25"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2:37" x14ac:dyDescent="0.25"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2:37" x14ac:dyDescent="0.25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2:37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2:37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2:37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2:37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2:37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2:37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2:37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2:37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2:37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2:37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2:37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2:37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2:37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2:37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2:37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2:37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2:37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2:37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2:37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2:37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2:37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2:37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2:37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2:37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2:37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2:37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2:37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2:37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2:37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2:37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2:37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2:37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2:37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2:37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2:37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2:37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2:37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2:37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2:37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2:37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2:37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2:37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2:37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2:37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2:37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2:37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2:37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2:37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2:37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2:37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2:37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2:37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2:37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2:37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2:37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2:37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2:37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2:37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2:37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2:37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2:37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2:37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2:37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2:37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2:37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2:37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2:37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2:37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2:37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2:37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2:37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2:37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2:37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2:37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2:37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2:37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2:37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2:37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2:37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2:37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2:37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2:37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2:37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2:37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2:37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2:37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2:37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2:37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2:37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2:37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2:37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2:37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2:37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2:37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2:37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2:37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2:37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2:37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2:37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2:37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2:37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2:37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2:37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2:37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2:37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2:37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2:37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2:37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2:37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2:37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2:37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2:37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2:37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2:37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2:37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2:37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2:37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2:37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2:37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2:37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2:37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2:37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2:37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2:37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2:37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2:37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2:37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2:37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2:37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2:37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2:37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2:37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2:37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2:37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2:37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2:37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2:37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2:37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2:37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2:37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2:37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2:37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2:37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2:37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2:37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2:37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2:37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2:37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2:37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2:37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2:37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2:37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2:37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2:37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2:37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2:37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2:37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2:37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2:37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2:37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2:37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2:37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2:37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2:37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2:37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2:37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2:37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2:37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2:37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2:37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2:37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2:37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2:37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2:37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2:37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2:37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2:37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2:37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2:37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2:37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2:37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2:37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2:37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2:37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2:37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2:37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2:37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2:37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2:37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2:37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2:37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2:37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2:37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2:37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2:37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2:37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2:37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2:37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2:37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2:37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2:37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2:37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2:37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2:37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2:37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2:37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2:37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2:37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2:37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2:37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2:37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2:37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2:37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2:37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2:37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2:37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2:37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2:37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2:37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2:37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2:37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2:37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2:37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2:37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2:37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2:37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2:37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2:37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2:37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2:37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2:37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2:37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2:37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2:37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2:37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2:37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2:37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2:37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2:37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2:37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2:37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2:37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2:37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2:37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2:37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2:37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2:37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2:37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2:37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2:37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2:37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2:37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2:37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2:37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2:37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2:37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2:37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2:37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2:37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2:37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2:37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2:37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2:37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2:37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2:37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2:37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2:37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2:37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2:37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2:37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2:37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2:37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2:37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2:37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2:37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2:37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2:37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2:37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2:37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2:37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2:37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2:37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2:37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2:37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2:37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2:37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2:37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2:37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2:37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2:37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2:37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2:37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2:37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2:37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2:37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2:37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2:37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2:37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2:37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2:37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2:37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2:37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2:37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2:37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2:37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2:37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2:37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2:37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2:37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2:37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2:37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2:37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2:37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2:37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2:37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2:37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2:37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2:37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2:37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2:37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2:37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2:37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2:37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2:37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2:37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2:37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2:37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2:37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2:37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2:37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2:37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2:37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2:37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2:37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2:37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2:37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2:37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2:37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2:37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2:37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2:37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2:37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2:37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2:37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2:37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2:37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2:37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2:37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2:37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2:37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2:37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2:37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2:37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2:37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2:37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2:37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2:37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2:37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2:37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2:37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2:37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2:37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2:37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2:37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2:37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2:37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2:37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2:37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2:37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2:37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2:37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2:37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2:37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2:37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2:37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2:37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2:37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2:37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2:37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2:37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2:37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2:37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2:37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2:37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2:37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2:37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2:37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2:37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2:37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2:37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2:37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2:37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2:37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2:37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2:37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2:37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2:37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2:37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2:37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2:37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2:37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2:37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2:37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2:37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2:37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2:37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2:37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2:37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2:37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2:37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2:37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2:37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2:37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2:37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2:37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2:37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2:37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2:37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2:37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2:37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2:37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2:37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2:37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2:37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2:37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2:37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2:37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2:37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2:37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2:37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2:37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2:37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2:37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2:37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2:37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2:37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2:37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2:37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2:37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2:37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2:37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2:37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2:37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2:37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2:37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2:37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2:37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2:37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2:37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2:37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2:37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2:37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2:37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2:37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2:37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2:37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2:37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2:37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2:37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2:37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2:37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2:37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2:37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2:37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2:37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2:37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2:37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2:37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2:37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2:37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2:37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2:37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2:37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2:37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2:37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2:37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2:37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2:37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2:37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2:37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2:37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2:37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2:37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2:37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2:37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2:37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2:37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2:37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2:37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2:37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2:37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2:37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2:37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2:37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2:37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2:37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2:37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2:37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2:37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2:37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2:37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2:37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2:37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2:37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2:37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2:37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2:37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2:37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2:37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2:37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2:37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2:37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2:37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2:37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2:37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2:37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2:37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2:37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2:37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2:37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2:37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2:37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2:37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2:37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2:37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2:37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2:37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2:37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2:37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2:37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2:37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2:37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2:37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2:37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2:37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2:37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2:37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2:37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2:37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2:37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2:37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2:37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2:37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2:37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2:37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2:37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2:37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2:37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2:37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2:37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2:37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2:37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2:37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2:37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2:37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2:37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2:37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2:37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2:37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2:37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2:37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2:37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2:37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2:37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2:37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2:37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2:37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2:37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2:37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2:37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2:37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2:37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2:37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2:37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2:37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2:37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2:37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2:37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2:37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2:37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2:37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2:37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2:37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2:37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2:37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2:37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2:37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2:37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2:37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2:37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2:37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2:37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2:37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2:37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2:37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2:37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2:37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2:37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2:37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2:37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2:37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2:37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2:37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2:37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2:37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2:37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2:37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2:37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2:37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2:37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2:37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2:37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2:37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2:37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2:37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2:37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2:37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2:37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2:37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2:37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2:37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2:37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2:37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2:37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2:37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2:37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2:37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2:37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2:37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2:37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2:37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2:37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2:37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2:37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2:37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2:37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2:37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2:37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2:37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2:37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2:37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2:37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2:37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2:37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2:37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2:37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2:37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2:37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2:37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2:37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2:37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2:37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2:37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2:37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2:37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2:37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2:37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2:37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2:37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2:37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2:37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2:37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2:37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2:37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94AC6-5C46-4373-9162-979948CAC87D}">
  <dimension ref="A3:AK966"/>
  <sheetViews>
    <sheetView showGridLines="0" tabSelected="1" zoomScaleNormal="100" workbookViewId="0"/>
  </sheetViews>
  <sheetFormatPr defaultRowHeight="15" x14ac:dyDescent="0.25"/>
  <cols>
    <col min="1" max="1" width="43" style="4" customWidth="1"/>
    <col min="2" max="2" width="3.5703125" customWidth="1"/>
    <col min="5" max="5" width="12.140625" bestFit="1" customWidth="1"/>
    <col min="12" max="12" width="6.5703125" customWidth="1"/>
  </cols>
  <sheetData>
    <row r="3" spans="1:37" ht="28.5" x14ac:dyDescent="0.45">
      <c r="D3" s="18" t="s">
        <v>317</v>
      </c>
      <c r="E3" s="19"/>
    </row>
    <row r="5" spans="1:37" x14ac:dyDescent="0.25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25">
      <c r="A6" s="20" t="s">
        <v>321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</row>
    <row r="7" spans="1:37" ht="16.5" customHeight="1" x14ac:dyDescent="0.25"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</row>
    <row r="8" spans="1:37" x14ac:dyDescent="0.25"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B10" s="7"/>
      <c r="C10" s="7"/>
      <c r="D10" s="7"/>
      <c r="E10" s="16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2:37" x14ac:dyDescent="0.25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2:37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2:37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2:37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2:37" x14ac:dyDescent="0.25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2:37" x14ac:dyDescent="0.25"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2:37" x14ac:dyDescent="0.25"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2:37" x14ac:dyDescent="0.25"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2:37" x14ac:dyDescent="0.25"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2:37" x14ac:dyDescent="0.25"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2:37" x14ac:dyDescent="0.25"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2:37" x14ac:dyDescent="0.25"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2:37" x14ac:dyDescent="0.25"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2:37" x14ac:dyDescent="0.25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2:37" x14ac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2:37" x14ac:dyDescent="0.25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2:37" x14ac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2:37" x14ac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2:37" x14ac:dyDescent="0.25"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2:37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2:37" x14ac:dyDescent="0.2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2:37" x14ac:dyDescent="0.25"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2:37" x14ac:dyDescent="0.25"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2:37" x14ac:dyDescent="0.25"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2:37" x14ac:dyDescent="0.25"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2:37" x14ac:dyDescent="0.25"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2:37" x14ac:dyDescent="0.25"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2:37" x14ac:dyDescent="0.25"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2:37" x14ac:dyDescent="0.25"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2:37" x14ac:dyDescent="0.25"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2:37" x14ac:dyDescent="0.25"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2:37" x14ac:dyDescent="0.25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2:37" x14ac:dyDescent="0.25"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2:37" x14ac:dyDescent="0.25"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2:37" x14ac:dyDescent="0.25"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2:37" x14ac:dyDescent="0.25"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2:37" x14ac:dyDescent="0.25"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2:37" x14ac:dyDescent="0.25"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2:37" x14ac:dyDescent="0.25"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2:37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2:37" x14ac:dyDescent="0.25"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2:37" x14ac:dyDescent="0.25"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2:37" x14ac:dyDescent="0.25"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2:37" x14ac:dyDescent="0.25"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2:37" x14ac:dyDescent="0.25"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2:37" x14ac:dyDescent="0.25"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2:37" x14ac:dyDescent="0.25"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2:37" x14ac:dyDescent="0.25"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2:37" x14ac:dyDescent="0.25"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2:37" x14ac:dyDescent="0.25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2:37" x14ac:dyDescent="0.25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2:37" x14ac:dyDescent="0.25"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2:37" x14ac:dyDescent="0.25"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2:37" x14ac:dyDescent="0.25"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2:37" x14ac:dyDescent="0.25"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2:37" x14ac:dyDescent="0.25"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2:37" x14ac:dyDescent="0.25"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2:37" x14ac:dyDescent="0.25"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2:37" x14ac:dyDescent="0.25"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2:37" x14ac:dyDescent="0.25"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2:37" x14ac:dyDescent="0.25"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2:37" x14ac:dyDescent="0.25"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2:37" x14ac:dyDescent="0.25"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2:37" x14ac:dyDescent="0.25"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2:37" x14ac:dyDescent="0.25"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2:37" x14ac:dyDescent="0.25"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2:37" x14ac:dyDescent="0.25"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2:37" x14ac:dyDescent="0.25"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2:37" x14ac:dyDescent="0.25"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2:37" x14ac:dyDescent="0.25"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2:37" x14ac:dyDescent="0.25"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2:37" x14ac:dyDescent="0.25"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2:37" x14ac:dyDescent="0.25"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2:37" x14ac:dyDescent="0.25"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2:37" x14ac:dyDescent="0.25"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2:37" x14ac:dyDescent="0.25"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2:37" x14ac:dyDescent="0.25"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2:37" x14ac:dyDescent="0.25"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2:37" x14ac:dyDescent="0.25"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2:37" x14ac:dyDescent="0.25"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2:37" x14ac:dyDescent="0.25"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2:37" x14ac:dyDescent="0.25"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2:37" x14ac:dyDescent="0.25"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2:37" x14ac:dyDescent="0.25"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2:37" x14ac:dyDescent="0.25"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2:37" x14ac:dyDescent="0.25"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2:37" x14ac:dyDescent="0.25"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2:37" x14ac:dyDescent="0.25"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2:37" x14ac:dyDescent="0.25"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2:37" x14ac:dyDescent="0.25"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2:37" x14ac:dyDescent="0.25"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2:37" x14ac:dyDescent="0.25"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2:37" x14ac:dyDescent="0.25"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2:37" x14ac:dyDescent="0.25"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2:37" x14ac:dyDescent="0.25"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2:37" x14ac:dyDescent="0.25"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2:37" x14ac:dyDescent="0.25"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2:37" x14ac:dyDescent="0.25"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2:37" x14ac:dyDescent="0.25"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2:37" x14ac:dyDescent="0.25"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2:37" x14ac:dyDescent="0.25"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2:37" x14ac:dyDescent="0.25"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2:37" x14ac:dyDescent="0.25"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2:37" x14ac:dyDescent="0.25"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2:37" x14ac:dyDescent="0.25"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2:37" x14ac:dyDescent="0.25"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2:37" x14ac:dyDescent="0.25"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2:37" x14ac:dyDescent="0.25"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2:37" x14ac:dyDescent="0.25"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2:37" x14ac:dyDescent="0.25"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2:37" x14ac:dyDescent="0.25"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2:37" x14ac:dyDescent="0.25"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2:37" x14ac:dyDescent="0.25"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2:37" x14ac:dyDescent="0.25"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2:37" x14ac:dyDescent="0.25"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2:37" x14ac:dyDescent="0.25"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2:37" x14ac:dyDescent="0.25"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2:37" x14ac:dyDescent="0.25"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2:37" x14ac:dyDescent="0.25"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2:37" x14ac:dyDescent="0.25"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2:37" x14ac:dyDescent="0.25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2:37" x14ac:dyDescent="0.25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2:37" x14ac:dyDescent="0.25"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2:37" x14ac:dyDescent="0.25"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2:37" x14ac:dyDescent="0.25"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2:37" x14ac:dyDescent="0.25"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2:37" x14ac:dyDescent="0.25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2:37" x14ac:dyDescent="0.25"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2:37" x14ac:dyDescent="0.25"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2:37" x14ac:dyDescent="0.25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2:37" x14ac:dyDescent="0.25"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2:37" x14ac:dyDescent="0.25"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2:37" x14ac:dyDescent="0.25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2:37" x14ac:dyDescent="0.25"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2:37" x14ac:dyDescent="0.25"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2:37" x14ac:dyDescent="0.25"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2:37" x14ac:dyDescent="0.25"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2:37" x14ac:dyDescent="0.25"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2:37" x14ac:dyDescent="0.25"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2:37" x14ac:dyDescent="0.25"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2:37" x14ac:dyDescent="0.25"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2:37" x14ac:dyDescent="0.25"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2:37" x14ac:dyDescent="0.25"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2:37" x14ac:dyDescent="0.25"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2:37" x14ac:dyDescent="0.25"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2:37" x14ac:dyDescent="0.25"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2:37" x14ac:dyDescent="0.25"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2:37" x14ac:dyDescent="0.25"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2:37" x14ac:dyDescent="0.25"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2:37" x14ac:dyDescent="0.25"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2:37" x14ac:dyDescent="0.25"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2:37" x14ac:dyDescent="0.25"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2:37" x14ac:dyDescent="0.25"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2:37" x14ac:dyDescent="0.25"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2:37" x14ac:dyDescent="0.25"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2:37" x14ac:dyDescent="0.25"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2:37" x14ac:dyDescent="0.25"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2:37" x14ac:dyDescent="0.25"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2:37" x14ac:dyDescent="0.25"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2:37" x14ac:dyDescent="0.25"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2:37" x14ac:dyDescent="0.25"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2:37" x14ac:dyDescent="0.25"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2:37" x14ac:dyDescent="0.25"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2:37" x14ac:dyDescent="0.25"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2:37" x14ac:dyDescent="0.25"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2:37" x14ac:dyDescent="0.25"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2:37" x14ac:dyDescent="0.25"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2:37" x14ac:dyDescent="0.25"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2:37" x14ac:dyDescent="0.25"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2:37" x14ac:dyDescent="0.25"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2:37" x14ac:dyDescent="0.25"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2:37" x14ac:dyDescent="0.25"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2:37" x14ac:dyDescent="0.25"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2:37" x14ac:dyDescent="0.25"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2:37" x14ac:dyDescent="0.25"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2:37" x14ac:dyDescent="0.25"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2:37" x14ac:dyDescent="0.25"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2:37" x14ac:dyDescent="0.25"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2:37" x14ac:dyDescent="0.25"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2:37" x14ac:dyDescent="0.25"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2:37" x14ac:dyDescent="0.25"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2:37" x14ac:dyDescent="0.25"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2:37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2:37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2:37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2:37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2:37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2:37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2:37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2:37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2:37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2:37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2:37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2:37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2:37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2:37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2:37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2:37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2:37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2:37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2:37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2:37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2:37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2:37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2:37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2:37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2:37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2:37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2:37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2:37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2:37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2:37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2:37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2:37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2:37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2:37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2:37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2:37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2:37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2:37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2:37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2:37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2:37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2:37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2:37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2:37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2:37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2:37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2:37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2:37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2:37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2:37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2:37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2:37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2:37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2:37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2:37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2:37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2:37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2:37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2:37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2:37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2:37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2:37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2:37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2:37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2:37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2:37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2:37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2:37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2:37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2:37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2:37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2:37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2:37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2:37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2:37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2:37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2:37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2:37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2:37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2:37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2:37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2:37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2:37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2:37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2:37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2:37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2:37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2:37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2:37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2:37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2:37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2:37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2:37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2:37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2:37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2:37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2:37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2:37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2:37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2:37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2:37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2:37" x14ac:dyDescent="0.25"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2:37" x14ac:dyDescent="0.25"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2:37" x14ac:dyDescent="0.25"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2:37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2:37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2:37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2:37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2:37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2:37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2:37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2:37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2:37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2:37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2:37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2:37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2:37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2:37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2:37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2:37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2:37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2:37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2:37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2:37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2:37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2:37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2:37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2:37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2:37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2:37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2:37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2:37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2:37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2:37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2:37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2:37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2:37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2:37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2:37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2:37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2:37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2:37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2:37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2:37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2:37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2:37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2:37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2:37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2:37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2:37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2:37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2:37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2:37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2:37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2:37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2:37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2:37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2:37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2:37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2:37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2:37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2:37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2:37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2:37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2:37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2:37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2:37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2:37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2:37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2:37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2:37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2:37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2:37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2:37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2:37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2:37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2:37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2:37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2:37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2:37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2:37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2:37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2:37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2:37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2:37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2:37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2:37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2:37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2:37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2:37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2:37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2:37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2:37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2:37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2:37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2:37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2:37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2:37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2:37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2:37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2:37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2:37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2:37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2:37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2:37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2:37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2:37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2:37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2:37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2:37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2:37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2:37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2:37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2:37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2:37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2:37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2:37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2:37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2:37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2:37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2:37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2:37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2:37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2:37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2:37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2:37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2:37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2:37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2:37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2:37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2:37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2:37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2:37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2:37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2:37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2:37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2:37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2:37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2:37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2:37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2:37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2:37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2:37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2:37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2:37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2:37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2:37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2:37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2:37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2:37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2:37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2:37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2:37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2:37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2:37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2:37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2:37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2:37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2:37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2:37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2:37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2:37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2:37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2:37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2:37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2:37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2:37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2:37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2:37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2:37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2:37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2:37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2:37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2:37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2:37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2:37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2:37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2:37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2:37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2:37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2:37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2:37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2:37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2:37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2:37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2:37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2:37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2:37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2:37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2:37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2:37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2:37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2:37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2:37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2:37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2:37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2:37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2:37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2:37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2:37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2:37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2:37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2:37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2:37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2:37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2:37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2:37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2:37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2:37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2:37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2:37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2:37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2:37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2:37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2:37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2:37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2:37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2:37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2:37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2:37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2:37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2:37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2:37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2:37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2:37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2:37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2:37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2:37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2:37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2:37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2:37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2:37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2:37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2:37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2:37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2:37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2:37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2:37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2:37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2:37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2:37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2:37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2:37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2:37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2:37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2:37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2:37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2:37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2:37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2:37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2:37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2:37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2:37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2:37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2:37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2:37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2:37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2:37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2:37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2:37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2:37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2:37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2:37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2:37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2:37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2:37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2:37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2:37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2:37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2:37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2:37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2:37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2:37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2:37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2:37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2:37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2:37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2:37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2:37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2:37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2:37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2:37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2:37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2:37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2:37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2:37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2:37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2:37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2:37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2:37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2:37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2:37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2:37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2:37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2:37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2:37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2:37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2:37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2:37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2:37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2:37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2:37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2:37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2:37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2:37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2:37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2:37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2:37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2:37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2:37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2:37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2:37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2:37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2:37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2:37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2:37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2:37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2:37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2:37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2:37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2:37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2:37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2:37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2:37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2:37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2:37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2:37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2:37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2:37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2:37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2:37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2:37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2:37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2:37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2:37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2:37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2:37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2:37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2:37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2:37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2:37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2:37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2:37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2:37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2:37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2:37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2:37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2:37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2:37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2:37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2:37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2:37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2:37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2:37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2:37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2:37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2:37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2:37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2:37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2:37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2:37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2:37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2:37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2:37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2:37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2:37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2:37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2:37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2:37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2:37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2:37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2:37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2:37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2:37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2:37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2:37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2:37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2:37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2:37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2:37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2:37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2:37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2:37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2:37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2:37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2:37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2:37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2:37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2:37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2:37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2:37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2:37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2:37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2:37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2:37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2:37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2:37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2:37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2:37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2:37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2:37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2:37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2:37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2:37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2:37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2:37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2:37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2:37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2:37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2:37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2:37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2:37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2:37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2:37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2:37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2:37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2:37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2:37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2:37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2:37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2:37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2:37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2:37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2:37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2:37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2:37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2:37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2:37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2:37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2:37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2:37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2:37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2:37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2:37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2:37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2:37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2:37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2:37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2:37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2:37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2:37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2:37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2:37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2:37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2:37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2:37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2:37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2:37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2:37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2:37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2:37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2:37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2:37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2:37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2:37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2:37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2:37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2:37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2:37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2:37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2:37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2:37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2:37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2:37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2:37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2:37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2:37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2:37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2:37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2:37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2:37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2:37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2:37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2:37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2:37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2:37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2:37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2:37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2:37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2:37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2:37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2:37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2:37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2:37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2:37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2:37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2:37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2:37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2:37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2:37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2:37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2:37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2:37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2:37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2:37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2:37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2:37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2:37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2:37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2:37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2:37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2:37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2:37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2:37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2:37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2:37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2:37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2:37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2:37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2:37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2:37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2:37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2:37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2:37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2:37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2:37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2:37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2:37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2:37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2:37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2:37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2:37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2:37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2:37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2:37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2:37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2:37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2:37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2:37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2:37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2:37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2:37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2:37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2:37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2:37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2:37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2:37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2:37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2:37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2:37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2:37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2:37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2:37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2:37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2:37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2:37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2:37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2:37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2:37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2:37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2:37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2:37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2:37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2:37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2:37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2:37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2:37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2:37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2:37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2:37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2:37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2:37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2:37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2:37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2:37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2:37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2:37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2:37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2:37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2:37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2:37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2:37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2:37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2:37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2:37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2:37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2:37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2:37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2:37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2:37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2:37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2:37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2:37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2:37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2:37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2:37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2:37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2:37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2:37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2:37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2:37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2:37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2:37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2:37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2:37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2:37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2:37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2:37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2:37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2:37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2:37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2:37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2:37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2:37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2:37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2:37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2:37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2:37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2:37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2:37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2:37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2:37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2:37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2:37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2:37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2:37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2:37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2:37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2:37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2:37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2:37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2:37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2:37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2:37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2:37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2:37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2:37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2:37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2:37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2:37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2:37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2:37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2:37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2:37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2:37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2:37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2:37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2:37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2:37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2:37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2:37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2:37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2:37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2:37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2:37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2:37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2:37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2:37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2:37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2:37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2:37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2:37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2:37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2:37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2:37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2:37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2:37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2:37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2:37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2:37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2:37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2:37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2:37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2:37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2:37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2:37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2:37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2:37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documentManagement/types"/>
    <ds:schemaRef ds:uri="http://purl.org/dc/elements/1.1/"/>
    <ds:schemaRef ds:uri="http://purl.org/dc/dcmitype/"/>
    <ds:schemaRef ds:uri="http://schemas.microsoft.com/office/2006/metadata/properties"/>
    <ds:schemaRef ds:uri="19483571-f922-4e8e-9c1c-26f0a2252132"/>
    <ds:schemaRef ds:uri="851b35d3-0456-4d6a-bc2f-da927e91d158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A̳ssets</vt:lpstr>
      <vt:lpstr>B̳ases</vt:lpstr>
      <vt:lpstr>C̳álculos</vt:lpstr>
      <vt:lpstr>D̳ashboard</vt:lpstr>
      <vt:lpstr>D̳ashboard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Arthur Lobo</cp:lastModifiedBy>
  <dcterms:created xsi:type="dcterms:W3CDTF">2024-12-19T13:13:10Z</dcterms:created>
  <dcterms:modified xsi:type="dcterms:W3CDTF">2026-08-28T19:17:19Z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